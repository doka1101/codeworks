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405" yWindow="90" windowWidth="8415" windowHeight="4965"/>
  </bookViews>
  <sheets>
    <sheet name="Model" sheetId="1" r:id="rId1"/>
    <sheet name="Scenarios" sheetId="6" r:id="rId2"/>
    <sheet name="Results" sheetId="7" r:id="rId3"/>
    <sheet name="Chart1" sheetId="2" state="hidden" r:id="rId4"/>
  </sheets>
  <definedNames>
    <definedName name="Capacities">Model!$I$13:$I$15</definedName>
    <definedName name="Demands">Model!$C$18:$F$18</definedName>
    <definedName name="Shipped">Model!$C$13:$F$15</definedName>
    <definedName name="ShippedIn">Model!$C$16:$F$16</definedName>
    <definedName name="ShippedOut">Model!$G$13:$G$15</definedName>
    <definedName name="solver_adj" localSheetId="0" hidden="1">Model!$C$13:$F$15</definedName>
    <definedName name="solver_adj" localSheetId="1" hidden="1">Scenarios!$C$13:$F$15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bd" localSheetId="0" hidden="1">2</definedName>
    <definedName name="solver_itr" localSheetId="0" hidden="1">100</definedName>
    <definedName name="solver_lhs1" localSheetId="0" hidden="1">Model!$G$13:$G$15</definedName>
    <definedName name="solver_lhs1" localSheetId="1" hidden="1">Scenarios!$G$13:$G$15</definedName>
    <definedName name="solver_lhs2" localSheetId="0" hidden="1">Model!$C$16:$F$16</definedName>
    <definedName name="solver_lhs2" localSheetId="1" hidden="1">Scenarios!$C$16:$F$16</definedName>
    <definedName name="solver_lhs3" localSheetId="0" hidden="1">Model!$C$16:$F$16</definedName>
    <definedName name="solver_lin" localSheetId="0" hidden="1">1</definedName>
    <definedName name="solver_lin" localSheetId="1" hidden="1">1</definedName>
    <definedName name="solver_lva" localSheetId="0" hidden="1">2</definedName>
    <definedName name="solver_mip" localSheetId="0" hidden="1">5000</definedName>
    <definedName name="solver_mni" localSheetId="0" hidden="1">30</definedName>
    <definedName name="solver_mrt" localSheetId="0" hidden="1">0.075</definedName>
    <definedName name="solver_neg" localSheetId="0" hidden="1">1</definedName>
    <definedName name="solver_neg" localSheetId="1" hidden="1">1</definedName>
    <definedName name="solver_nod" localSheetId="0" hidden="1">5000</definedName>
    <definedName name="solver_num" localSheetId="0" hidden="1">2</definedName>
    <definedName name="solver_num" localSheetId="1" hidden="1">2</definedName>
    <definedName name="solver_nwt" localSheetId="0" hidden="1">1</definedName>
    <definedName name="solver_ofx" localSheetId="0" hidden="1">2</definedName>
    <definedName name="solver_opt" localSheetId="0" hidden="1">Model!$B$20</definedName>
    <definedName name="solver_opt" localSheetId="1" hidden="1">Scenarios!$B$20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rbv" localSheetId="0" hidden="1">1</definedName>
    <definedName name="solver_red" localSheetId="0" hidden="1">0.000001</definedName>
    <definedName name="solver_rel1" localSheetId="0" hidden="1">1</definedName>
    <definedName name="solver_rel1" localSheetId="1" hidden="1">1</definedName>
    <definedName name="solver_rel2" localSheetId="0" hidden="1">3</definedName>
    <definedName name="solver_rel2" localSheetId="1" hidden="1">3</definedName>
    <definedName name="solver_rel3" localSheetId="0" hidden="1">3</definedName>
    <definedName name="solver_reo" localSheetId="0" hidden="1">2</definedName>
    <definedName name="solver_rep" localSheetId="0" hidden="1">2</definedName>
    <definedName name="solver_rhs1" localSheetId="0" hidden="1">Model!$I$13:$I$15</definedName>
    <definedName name="solver_rhs1" localSheetId="1" hidden="1">Scenarios!$I$13:$I$15</definedName>
    <definedName name="solver_rhs2" localSheetId="0" hidden="1">Model!$C$18:$F$18</definedName>
    <definedName name="solver_rhs2" localSheetId="1" hidden="1">Scenarios!$C$18:$F$18</definedName>
    <definedName name="solver_rhs3" localSheetId="0" hidden="1">Model!$C$18:$F$18</definedName>
    <definedName name="solver_rlx" localSheetId="0" hidden="1">2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sz" localSheetId="0" hidden="1">100</definedName>
    <definedName name="solver_std" localSheetId="0" hidden="1">1</definedName>
    <definedName name="solver_tim" localSheetId="0" hidden="1">100</definedName>
    <definedName name="solver_tmp" localSheetId="0" hidden="1">Model!$C$18:$F$18</definedName>
    <definedName name="solver_tol" localSheetId="0" hidden="1">0.05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TotalCost">Model!$B$20</definedName>
    <definedName name="UnitCosts">Model!$C$6:$F$8</definedName>
  </definedNames>
  <calcPr calcId="125725"/>
</workbook>
</file>

<file path=xl/calcChain.xml><?xml version="1.0" encoding="utf-8"?>
<calcChain xmlns="http://schemas.openxmlformats.org/spreadsheetml/2006/main">
  <c r="B20" i="1"/>
  <c r="C16" l="1"/>
  <c r="D16"/>
  <c r="E16"/>
  <c r="F16"/>
  <c r="G13"/>
  <c r="G14"/>
  <c r="G15"/>
</calcChain>
</file>

<file path=xl/sharedStrings.xml><?xml version="1.0" encoding="utf-8"?>
<sst xmlns="http://schemas.openxmlformats.org/spreadsheetml/2006/main" count="63" uniqueCount="40">
  <si>
    <t>Unit shipping costs</t>
  </si>
  <si>
    <t>To</t>
  </si>
  <si>
    <t>City 1</t>
  </si>
  <si>
    <t>City 2</t>
  </si>
  <si>
    <t>City 3</t>
  </si>
  <si>
    <t>City 4</t>
  </si>
  <si>
    <t>Plant 1</t>
  </si>
  <si>
    <t>From</t>
  </si>
  <si>
    <t>Plant 2</t>
  </si>
  <si>
    <t>Plant 3</t>
  </si>
  <si>
    <t>Total cost</t>
  </si>
  <si>
    <t>Shipments</t>
  </si>
  <si>
    <t>Total shipped</t>
  </si>
  <si>
    <t>&lt;=</t>
  </si>
  <si>
    <t>Total received</t>
  </si>
  <si>
    <t>&gt;=</t>
  </si>
  <si>
    <t>Capacity</t>
  </si>
  <si>
    <t>Demand</t>
  </si>
  <si>
    <t>Capacities</t>
  </si>
  <si>
    <t>Demands</t>
  </si>
  <si>
    <t>Possible scenarios</t>
  </si>
  <si>
    <t>Scenario 1</t>
  </si>
  <si>
    <t>Scenario 2</t>
  </si>
  <si>
    <t>Scenario 3</t>
  </si>
  <si>
    <t>Scenario 4</t>
  </si>
  <si>
    <t>Scenario 5</t>
  </si>
  <si>
    <t>Transportation model</t>
  </si>
  <si>
    <t>Range names used:</t>
  </si>
  <si>
    <t>=Model!$I$13:$I$15</t>
  </si>
  <si>
    <t>=Model!$C$18:$F$18</t>
  </si>
  <si>
    <t>Shipped</t>
  </si>
  <si>
    <t>=Model!$C$13:$F$15</t>
  </si>
  <si>
    <t>ShippedIn</t>
  </si>
  <si>
    <t>=Model!$C$16:$F$16</t>
  </si>
  <si>
    <t>ShippedOut</t>
  </si>
  <si>
    <t>=Model!$G$13:$G$15</t>
  </si>
  <si>
    <t>TotalCost</t>
  </si>
  <si>
    <t>=Model!$B$20</t>
  </si>
  <si>
    <t>UnitCosts</t>
  </si>
  <si>
    <t>=Model!$C$6:$F$8</t>
  </si>
</sst>
</file>

<file path=xl/styles.xml><?xml version="1.0" encoding="utf-8"?>
<styleSheet xmlns="http://schemas.openxmlformats.org/spreadsheetml/2006/main">
  <numFmts count="3">
    <numFmt numFmtId="164" formatCode="&quot;$&quot;#,##0_);\(&quot;$&quot;#,##0\)"/>
    <numFmt numFmtId="165" formatCode="&quot;$&quot;#,##0_);[Red]\(&quot;$&quot;#,##0\)"/>
    <numFmt numFmtId="166" formatCode="&quot;$&quot;#,##0;\-&quot;$&quot;#,##0"/>
  </numFmts>
  <fonts count="3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0" tint="-0.2499465926084170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Fill="1"/>
    <xf numFmtId="0" fontId="2" fillId="0" borderId="0" xfId="0" applyFont="1" applyFill="1"/>
    <xf numFmtId="0" fontId="2" fillId="0" borderId="0" xfId="0" applyNumberFormat="1" applyFont="1" applyFill="1"/>
    <xf numFmtId="0" fontId="2" fillId="0" borderId="0" xfId="0" applyFont="1" applyFill="1" applyAlignment="1">
      <alignment horizontal="left"/>
    </xf>
    <xf numFmtId="0" fontId="2" fillId="0" borderId="0" xfId="0" applyFont="1" applyFill="1" applyAlignment="1">
      <alignment horizontal="centerContinuous"/>
    </xf>
    <xf numFmtId="0" fontId="2" fillId="0" borderId="0" xfId="0" applyFont="1" applyFill="1" applyAlignment="1">
      <alignment horizontal="right"/>
    </xf>
    <xf numFmtId="166" fontId="2" fillId="2" borderId="0" xfId="0" applyNumberFormat="1" applyFont="1" applyFill="1" applyBorder="1"/>
    <xf numFmtId="0" fontId="2" fillId="3" borderId="0" xfId="0" applyFont="1" applyFill="1" applyBorder="1"/>
    <xf numFmtId="0" fontId="2" fillId="0" borderId="0" xfId="0" quotePrefix="1" applyFont="1" applyFill="1" applyAlignment="1">
      <alignment horizontal="center"/>
    </xf>
    <xf numFmtId="0" fontId="2" fillId="2" borderId="0" xfId="0" applyFont="1" applyFill="1" applyBorder="1"/>
    <xf numFmtId="0" fontId="2" fillId="0" borderId="0" xfId="0" quotePrefix="1" applyFont="1" applyFill="1" applyAlignment="1">
      <alignment horizontal="right"/>
    </xf>
    <xf numFmtId="9" fontId="2" fillId="0" borderId="0" xfId="0" applyNumberFormat="1" applyFont="1" applyFill="1"/>
    <xf numFmtId="0" fontId="1" fillId="0" borderId="0" xfId="0" applyFont="1" applyFill="1" applyAlignment="1">
      <alignment horizontal="left"/>
    </xf>
    <xf numFmtId="164" fontId="2" fillId="4" borderId="0" xfId="0" applyNumberFormat="1" applyFont="1" applyFill="1" applyBorder="1"/>
    <xf numFmtId="0" fontId="1" fillId="0" borderId="0" xfId="0" applyFont="1"/>
    <xf numFmtId="0" fontId="2" fillId="0" borderId="0" xfId="0" applyFont="1"/>
    <xf numFmtId="166" fontId="2" fillId="0" borderId="0" xfId="0" applyNumberFormat="1" applyFont="1"/>
    <xf numFmtId="0" fontId="2" fillId="0" borderId="0" xfId="0" applyFont="1" applyAlignment="1">
      <alignment horizontal="right"/>
    </xf>
    <xf numFmtId="165" fontId="2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chart>
    <c:plotArea>
      <c:layout>
        <c:manualLayout>
          <c:layoutTarget val="inner"/>
          <c:xMode val="edge"/>
          <c:yMode val="edge"/>
          <c:x val="1.1098779134295227E-2"/>
          <c:y val="1.6313213703099506E-2"/>
          <c:w val="0.97225305216426194"/>
          <c:h val="0.96737357259380163"/>
        </c:manualLayout>
      </c:layout>
      <c:barChart>
        <c:barDir val="col"/>
        <c:grouping val="clustered"/>
        <c:axId val="62169856"/>
        <c:axId val="62171392"/>
      </c:barChart>
      <c:catAx>
        <c:axId val="62169856"/>
        <c:scaling>
          <c:orientation val="minMax"/>
        </c:scaling>
        <c:axPos val="b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171392"/>
        <c:crosses val="autoZero"/>
        <c:lblAlgn val="ctr"/>
        <c:lblOffset val="100"/>
        <c:tickMarkSkip val="1"/>
      </c:catAx>
      <c:valAx>
        <c:axId val="6217139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16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9556048834628141"/>
          <c:y val="0.49918433931484552"/>
          <c:w val="0"/>
          <c:h val="1.6313213703099505E-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48" workbookViewId="0"/>
  </sheetViews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0.291</cdr:x>
      <cdr:y>0.30475</cdr:y>
    </cdr:from>
    <cdr:to>
      <cdr:x>0.3395</cdr:x>
      <cdr:y>0.37625</cdr:y>
    </cdr:to>
    <cdr:sp macro="" textlink="">
      <cdr:nvSpPr>
        <cdr:cNvPr id="1025" name="Oval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7369" y="1779382"/>
          <a:ext cx="416228" cy="4174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0.291</cdr:x>
      <cdr:y>0.4575</cdr:y>
    </cdr:from>
    <cdr:to>
      <cdr:x>0.3395</cdr:x>
      <cdr:y>0.52925</cdr:y>
    </cdr:to>
    <cdr:sp macro="" textlink="">
      <cdr:nvSpPr>
        <cdr:cNvPr id="1026" name="Oval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7369" y="2671262"/>
          <a:ext cx="416228" cy="41893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0.291</cdr:x>
      <cdr:y>0.62</cdr:y>
    </cdr:from>
    <cdr:to>
      <cdr:x>0.3395</cdr:x>
      <cdr:y>0.69175</cdr:y>
    </cdr:to>
    <cdr:sp macro="" textlink="">
      <cdr:nvSpPr>
        <cdr:cNvPr id="1027" name="Oval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7369" y="3620072"/>
          <a:ext cx="416228" cy="41893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0.62925</cdr:x>
      <cdr:y>0.206</cdr:y>
    </cdr:from>
    <cdr:to>
      <cdr:x>0.678</cdr:x>
      <cdr:y>0.27775</cdr:y>
    </cdr:to>
    <cdr:sp macro="" textlink="">
      <cdr:nvSpPr>
        <cdr:cNvPr id="1028" name="Oval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00239" y="1202798"/>
          <a:ext cx="418374" cy="41893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0.62925</cdr:x>
      <cdr:y>0.356</cdr:y>
    </cdr:from>
    <cdr:to>
      <cdr:x>0.678</cdr:x>
      <cdr:y>0.4275</cdr:y>
    </cdr:to>
    <cdr:sp macro="" textlink="">
      <cdr:nvSpPr>
        <cdr:cNvPr id="1029" name="Oval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00239" y="2078622"/>
          <a:ext cx="418374" cy="4174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0.62925</cdr:x>
      <cdr:y>0.54275</cdr:y>
    </cdr:from>
    <cdr:to>
      <cdr:x>0.678</cdr:x>
      <cdr:y>0.61425</cdr:y>
    </cdr:to>
    <cdr:sp macro="" textlink="">
      <cdr:nvSpPr>
        <cdr:cNvPr id="1030" name="Oval 6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00239" y="3169022"/>
          <a:ext cx="418374" cy="4174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0.62925</cdr:x>
      <cdr:y>0.712</cdr:y>
    </cdr:from>
    <cdr:to>
      <cdr:x>0.678</cdr:x>
      <cdr:y>0.7835</cdr:y>
    </cdr:to>
    <cdr:sp macro="" textlink="">
      <cdr:nvSpPr>
        <cdr:cNvPr id="1031" name="Oval 7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00239" y="4157243"/>
          <a:ext cx="418374" cy="4174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0.30275</cdr:x>
      <cdr:y>0.475</cdr:y>
    </cdr:from>
    <cdr:to>
      <cdr:x>0.33275</cdr:x>
      <cdr:y>0.519</cdr:y>
    </cdr:to>
    <cdr:sp macro="" textlink="">
      <cdr:nvSpPr>
        <cdr:cNvPr id="1032" name="Text 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98208" y="2773442"/>
          <a:ext cx="257461" cy="2569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2</a:t>
          </a:r>
        </a:p>
      </cdr:txBody>
    </cdr:sp>
  </cdr:relSizeAnchor>
  <cdr:relSizeAnchor xmlns:cdr="http://schemas.openxmlformats.org/drawingml/2006/chartDrawing">
    <cdr:from>
      <cdr:x>0.30275</cdr:x>
      <cdr:y>0.32225</cdr:y>
    </cdr:from>
    <cdr:to>
      <cdr:x>0.33275</cdr:x>
      <cdr:y>0.36625</cdr:y>
    </cdr:to>
    <cdr:sp macro="" textlink="">
      <cdr:nvSpPr>
        <cdr:cNvPr id="1033" name="Text 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98208" y="1881561"/>
          <a:ext cx="257461" cy="2569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</a:p>
      </cdr:txBody>
    </cdr:sp>
  </cdr:relSizeAnchor>
  <cdr:relSizeAnchor xmlns:cdr="http://schemas.openxmlformats.org/drawingml/2006/chartDrawing">
    <cdr:from>
      <cdr:x>0.30275</cdr:x>
      <cdr:y>0.6375</cdr:y>
    </cdr:from>
    <cdr:to>
      <cdr:x>0.33275</cdr:x>
      <cdr:y>0.6815</cdr:y>
    </cdr:to>
    <cdr:sp macro="" textlink="">
      <cdr:nvSpPr>
        <cdr:cNvPr id="1034" name="Text 1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98208" y="3722251"/>
          <a:ext cx="257461" cy="2569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</a:t>
          </a:r>
        </a:p>
      </cdr:txBody>
    </cdr:sp>
  </cdr:relSizeAnchor>
  <cdr:relSizeAnchor xmlns:cdr="http://schemas.openxmlformats.org/drawingml/2006/chartDrawing">
    <cdr:from>
      <cdr:x>0.641</cdr:x>
      <cdr:y>0.7255</cdr:y>
    </cdr:from>
    <cdr:to>
      <cdr:x>0.671</cdr:x>
      <cdr:y>0.7695</cdr:y>
    </cdr:to>
    <cdr:sp macro="" textlink="">
      <cdr:nvSpPr>
        <cdr:cNvPr id="1035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01078" y="4236068"/>
          <a:ext cx="257461" cy="2569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4</a:t>
          </a:r>
        </a:p>
      </cdr:txBody>
    </cdr:sp>
  </cdr:relSizeAnchor>
  <cdr:relSizeAnchor xmlns:cdr="http://schemas.openxmlformats.org/drawingml/2006/chartDrawing">
    <cdr:from>
      <cdr:x>0.641</cdr:x>
      <cdr:y>0.55625</cdr:y>
    </cdr:from>
    <cdr:to>
      <cdr:x>0.671</cdr:x>
      <cdr:y>0.60025</cdr:y>
    </cdr:to>
    <cdr:sp macro="" textlink="">
      <cdr:nvSpPr>
        <cdr:cNvPr id="1036" name="Text 1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01078" y="3247846"/>
          <a:ext cx="257461" cy="2569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</a:t>
          </a:r>
        </a:p>
      </cdr:txBody>
    </cdr:sp>
  </cdr:relSizeAnchor>
  <cdr:relSizeAnchor xmlns:cdr="http://schemas.openxmlformats.org/drawingml/2006/chartDrawing">
    <cdr:from>
      <cdr:x>0.641</cdr:x>
      <cdr:y>0.3735</cdr:y>
    </cdr:from>
    <cdr:to>
      <cdr:x>0.671</cdr:x>
      <cdr:y>0.4175</cdr:y>
    </cdr:to>
    <cdr:sp macro="" textlink="">
      <cdr:nvSpPr>
        <cdr:cNvPr id="1037" name="Text 1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01078" y="2180801"/>
          <a:ext cx="257461" cy="2569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2</a:t>
          </a:r>
        </a:p>
      </cdr:txBody>
    </cdr:sp>
  </cdr:relSizeAnchor>
  <cdr:relSizeAnchor xmlns:cdr="http://schemas.openxmlformats.org/drawingml/2006/chartDrawing">
    <cdr:from>
      <cdr:x>0.641</cdr:x>
      <cdr:y>0.2235</cdr:y>
    </cdr:from>
    <cdr:to>
      <cdr:x>0.671</cdr:x>
      <cdr:y>0.2675</cdr:y>
    </cdr:to>
    <cdr:sp macro="" textlink="">
      <cdr:nvSpPr>
        <cdr:cNvPr id="1038" name="Text 1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01078" y="1304977"/>
          <a:ext cx="257461" cy="2569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</a:p>
      </cdr:txBody>
    </cdr:sp>
  </cdr:relSizeAnchor>
  <cdr:relSizeAnchor xmlns:cdr="http://schemas.openxmlformats.org/drawingml/2006/chartDrawing">
    <cdr:from>
      <cdr:x>0.59425</cdr:x>
      <cdr:y>0.08425</cdr:y>
    </cdr:from>
    <cdr:to>
      <cdr:x>0.70075</cdr:x>
      <cdr:y>0.138</cdr:y>
    </cdr:to>
    <cdr:sp macro="" textlink="">
      <cdr:nvSpPr>
        <cdr:cNvPr id="1039" name="Text 1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99868" y="491921"/>
          <a:ext cx="913986" cy="3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Cities</a:t>
          </a:r>
        </a:p>
      </cdr:txBody>
    </cdr:sp>
  </cdr:relSizeAnchor>
  <cdr:relSizeAnchor xmlns:cdr="http://schemas.openxmlformats.org/drawingml/2006/chartDrawing">
    <cdr:from>
      <cdr:x>0.75275</cdr:x>
      <cdr:y>0.08425</cdr:y>
    </cdr:from>
    <cdr:to>
      <cdr:x>0.85925</cdr:x>
      <cdr:y>0.138</cdr:y>
    </cdr:to>
    <cdr:sp macro="" textlink="">
      <cdr:nvSpPr>
        <cdr:cNvPr id="1040" name="Text 1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60119" y="491921"/>
          <a:ext cx="913986" cy="3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Demands</a:t>
          </a:r>
        </a:p>
      </cdr:txBody>
    </cdr:sp>
  </cdr:relSizeAnchor>
  <cdr:relSizeAnchor xmlns:cdr="http://schemas.openxmlformats.org/drawingml/2006/chartDrawing">
    <cdr:from>
      <cdr:x>0.3395</cdr:x>
      <cdr:y>0.33575</cdr:y>
    </cdr:from>
    <cdr:to>
      <cdr:x>0.6275</cdr:x>
      <cdr:y>0.386</cdr:y>
    </cdr:to>
    <cdr:sp macro="" textlink="">
      <cdr:nvSpPr>
        <cdr:cNvPr id="1041" name="Line 1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913597" y="1960385"/>
          <a:ext cx="2471624" cy="29340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0.3395</cdr:x>
      <cdr:y>0.35225</cdr:y>
    </cdr:from>
    <cdr:to>
      <cdr:x>0.62925</cdr:x>
      <cdr:y>0.563</cdr:y>
    </cdr:to>
    <cdr:sp macro="" textlink="">
      <cdr:nvSpPr>
        <cdr:cNvPr id="1042" name="Line 1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913597" y="2056726"/>
          <a:ext cx="2486642" cy="123053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0.3415</cdr:x>
      <cdr:y>0.26125</cdr:y>
    </cdr:from>
    <cdr:to>
      <cdr:x>0.63125</cdr:x>
      <cdr:y>0.4885</cdr:y>
    </cdr:to>
    <cdr:sp macro="" textlink="">
      <cdr:nvSpPr>
        <cdr:cNvPr id="1043" name="Line 19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2930762" y="1525393"/>
          <a:ext cx="2486641" cy="1326873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0.3395</cdr:x>
      <cdr:y>0.505</cdr:y>
    </cdr:from>
    <cdr:to>
      <cdr:x>0.6275</cdr:x>
      <cdr:y>0.5795</cdr:y>
    </cdr:to>
    <cdr:sp macro="" textlink="">
      <cdr:nvSpPr>
        <cdr:cNvPr id="1044" name="Line 2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913597" y="2948607"/>
          <a:ext cx="2471624" cy="43499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0.3395</cdr:x>
      <cdr:y>0.41025</cdr:y>
    </cdr:from>
    <cdr:to>
      <cdr:x>0.62925</cdr:x>
      <cdr:y>0.648</cdr:y>
    </cdr:to>
    <cdr:sp macro="" textlink="">
      <cdr:nvSpPr>
        <cdr:cNvPr id="1045" name="Line 2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2913597" y="2395378"/>
          <a:ext cx="2486642" cy="138818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0.3395</cdr:x>
      <cdr:y>0.6685</cdr:y>
    </cdr:from>
    <cdr:to>
      <cdr:x>0.62925</cdr:x>
      <cdr:y>0.74575</cdr:y>
    </cdr:to>
    <cdr:sp macro="" textlink="">
      <cdr:nvSpPr>
        <cdr:cNvPr id="1046" name="Line 2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913597" y="3903255"/>
          <a:ext cx="2486642" cy="45104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0.12075</cdr:x>
      <cdr:y>0.3155</cdr:y>
    </cdr:from>
    <cdr:to>
      <cdr:x>0.18075</cdr:x>
      <cdr:y>0.36275</cdr:y>
    </cdr:to>
    <cdr:sp macro="" textlink="">
      <cdr:nvSpPr>
        <cdr:cNvPr id="1047" name="Text 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36280" y="1842149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35</a:t>
          </a:r>
        </a:p>
      </cdr:txBody>
    </cdr:sp>
  </cdr:relSizeAnchor>
  <cdr:relSizeAnchor xmlns:cdr="http://schemas.openxmlformats.org/drawingml/2006/chartDrawing">
    <cdr:from>
      <cdr:x>0.12075</cdr:x>
      <cdr:y>0.475</cdr:y>
    </cdr:from>
    <cdr:to>
      <cdr:x>0.18075</cdr:x>
      <cdr:y>0.52225</cdr:y>
    </cdr:to>
    <cdr:sp macro="" textlink="">
      <cdr:nvSpPr>
        <cdr:cNvPr id="1048" name="Text 2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36280" y="2773442"/>
          <a:ext cx="514921" cy="2758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50</a:t>
          </a:r>
        </a:p>
      </cdr:txBody>
    </cdr:sp>
  </cdr:relSizeAnchor>
  <cdr:relSizeAnchor xmlns:cdr="http://schemas.openxmlformats.org/drawingml/2006/chartDrawing">
    <cdr:from>
      <cdr:x>0.12075</cdr:x>
      <cdr:y>0.6405</cdr:y>
    </cdr:from>
    <cdr:to>
      <cdr:x>0.18075</cdr:x>
      <cdr:y>0.68775</cdr:y>
    </cdr:to>
    <cdr:sp macro="" textlink="">
      <cdr:nvSpPr>
        <cdr:cNvPr id="1049" name="Text 2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36280" y="3739767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40</a:t>
          </a:r>
        </a:p>
      </cdr:txBody>
    </cdr:sp>
  </cdr:relSizeAnchor>
  <cdr:relSizeAnchor xmlns:cdr="http://schemas.openxmlformats.org/drawingml/2006/chartDrawing">
    <cdr:from>
      <cdr:x>0.46125</cdr:x>
      <cdr:y>0.65775</cdr:y>
    </cdr:from>
    <cdr:to>
      <cdr:x>0.52125</cdr:x>
      <cdr:y>0.705</cdr:y>
    </cdr:to>
    <cdr:sp macro="" textlink="">
      <cdr:nvSpPr>
        <cdr:cNvPr id="1050" name="Text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58459" y="3840487"/>
          <a:ext cx="514922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30</a:t>
          </a:r>
        </a:p>
      </cdr:txBody>
    </cdr:sp>
  </cdr:relSizeAnchor>
  <cdr:relSizeAnchor xmlns:cdr="http://schemas.openxmlformats.org/drawingml/2006/chartDrawing">
    <cdr:from>
      <cdr:x>0.35325</cdr:x>
      <cdr:y>0.55625</cdr:y>
    </cdr:from>
    <cdr:to>
      <cdr:x>0.41325</cdr:x>
      <cdr:y>0.6035</cdr:y>
    </cdr:to>
    <cdr:sp macro="" textlink="">
      <cdr:nvSpPr>
        <cdr:cNvPr id="1051" name="Text 3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1600" y="3247846"/>
          <a:ext cx="514922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10</a:t>
          </a:r>
        </a:p>
      </cdr:txBody>
    </cdr:sp>
  </cdr:relSizeAnchor>
  <cdr:relSizeAnchor xmlns:cdr="http://schemas.openxmlformats.org/drawingml/2006/chartDrawing">
    <cdr:from>
      <cdr:x>0.397</cdr:x>
      <cdr:y>0.478</cdr:y>
    </cdr:from>
    <cdr:to>
      <cdr:x>0.457</cdr:x>
      <cdr:y>0.52525</cdr:y>
    </cdr:to>
    <cdr:sp macro="" textlink="">
      <cdr:nvSpPr>
        <cdr:cNvPr id="1052" name="Text 3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07064" y="2790958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5</a:t>
          </a:r>
        </a:p>
      </cdr:txBody>
    </cdr:sp>
  </cdr:relSizeAnchor>
  <cdr:relSizeAnchor xmlns:cdr="http://schemas.openxmlformats.org/drawingml/2006/chartDrawing">
    <cdr:from>
      <cdr:x>0.3465</cdr:x>
      <cdr:y>0.40625</cdr:y>
    </cdr:from>
    <cdr:to>
      <cdr:x>0.4065</cdr:x>
      <cdr:y>0.4535</cdr:y>
    </cdr:to>
    <cdr:sp macro="" textlink="">
      <cdr:nvSpPr>
        <cdr:cNvPr id="1053" name="Text 3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73672" y="2372023"/>
          <a:ext cx="514921" cy="2758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45</a:t>
          </a:r>
        </a:p>
      </cdr:txBody>
    </cdr:sp>
  </cdr:relSizeAnchor>
  <cdr:relSizeAnchor xmlns:cdr="http://schemas.openxmlformats.org/drawingml/2006/chartDrawing">
    <cdr:from>
      <cdr:x>0.38525</cdr:x>
      <cdr:y>0.298</cdr:y>
    </cdr:from>
    <cdr:to>
      <cdr:x>0.44525</cdr:x>
      <cdr:y>0.34525</cdr:y>
    </cdr:to>
    <cdr:sp macro="" textlink="">
      <cdr:nvSpPr>
        <cdr:cNvPr id="1054" name="Text 3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306225" y="1739970"/>
          <a:ext cx="514922" cy="2758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10</a:t>
          </a:r>
        </a:p>
      </cdr:txBody>
    </cdr:sp>
  </cdr:relSizeAnchor>
  <cdr:relSizeAnchor xmlns:cdr="http://schemas.openxmlformats.org/drawingml/2006/chartDrawing">
    <cdr:from>
      <cdr:x>0.469</cdr:x>
      <cdr:y>0.413</cdr:y>
    </cdr:from>
    <cdr:to>
      <cdr:x>0.529</cdr:x>
      <cdr:y>0.46025</cdr:y>
    </cdr:to>
    <cdr:sp macro="" textlink="">
      <cdr:nvSpPr>
        <cdr:cNvPr id="1055" name="Text 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4970" y="2411435"/>
          <a:ext cx="514921" cy="2758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25</a:t>
          </a:r>
        </a:p>
      </cdr:txBody>
    </cdr:sp>
  </cdr:relSizeAnchor>
  <cdr:relSizeAnchor xmlns:cdr="http://schemas.openxmlformats.org/drawingml/2006/chartDrawing">
    <cdr:from>
      <cdr:x>0.77425</cdr:x>
      <cdr:y>0.71875</cdr:y>
    </cdr:from>
    <cdr:to>
      <cdr:x>0.83425</cdr:x>
      <cdr:y>0.766</cdr:y>
    </cdr:to>
    <cdr:sp macro="" textlink="">
      <cdr:nvSpPr>
        <cdr:cNvPr id="1056" name="Text 3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4633" y="4196655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30</a:t>
          </a:r>
        </a:p>
      </cdr:txBody>
    </cdr:sp>
  </cdr:relSizeAnchor>
  <cdr:relSizeAnchor xmlns:cdr="http://schemas.openxmlformats.org/drawingml/2006/chartDrawing">
    <cdr:from>
      <cdr:x>0.77425</cdr:x>
      <cdr:y>0.55225</cdr:y>
    </cdr:from>
    <cdr:to>
      <cdr:x>0.83425</cdr:x>
      <cdr:y>0.5995</cdr:y>
    </cdr:to>
    <cdr:sp macro="" textlink="">
      <cdr:nvSpPr>
        <cdr:cNvPr id="1057" name="Text 3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4633" y="3224491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30</a:t>
          </a:r>
        </a:p>
      </cdr:txBody>
    </cdr:sp>
  </cdr:relSizeAnchor>
  <cdr:relSizeAnchor xmlns:cdr="http://schemas.openxmlformats.org/drawingml/2006/chartDrawing">
    <cdr:from>
      <cdr:x>0.77425</cdr:x>
      <cdr:y>0.36575</cdr:y>
    </cdr:from>
    <cdr:to>
      <cdr:x>0.83425</cdr:x>
      <cdr:y>0.413</cdr:y>
    </cdr:to>
    <cdr:sp macro="" textlink="">
      <cdr:nvSpPr>
        <cdr:cNvPr id="1058" name="Text 3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4633" y="2135550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20</a:t>
          </a:r>
        </a:p>
      </cdr:txBody>
    </cdr:sp>
  </cdr:relSizeAnchor>
  <cdr:relSizeAnchor xmlns:cdr="http://schemas.openxmlformats.org/drawingml/2006/chartDrawing">
    <cdr:from>
      <cdr:x>0.77425</cdr:x>
      <cdr:y>0.21</cdr:y>
    </cdr:from>
    <cdr:to>
      <cdr:x>0.83425</cdr:x>
      <cdr:y>0.25725</cdr:y>
    </cdr:to>
    <cdr:sp macro="" textlink="">
      <cdr:nvSpPr>
        <cdr:cNvPr id="1059" name="Text 3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4633" y="1226153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45</a:t>
          </a:r>
        </a:p>
      </cdr:txBody>
    </cdr:sp>
  </cdr:relSizeAnchor>
  <cdr:relSizeAnchor xmlns:cdr="http://schemas.openxmlformats.org/drawingml/2006/chartDrawing">
    <cdr:from>
      <cdr:x>0.2755</cdr:x>
      <cdr:y>0.08425</cdr:y>
    </cdr:from>
    <cdr:to>
      <cdr:x>0.382</cdr:x>
      <cdr:y>0.138</cdr:y>
    </cdr:to>
    <cdr:sp macro="" textlink="">
      <cdr:nvSpPr>
        <cdr:cNvPr id="1060" name="Text 3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64348" y="491921"/>
          <a:ext cx="913986" cy="3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Plants</a:t>
          </a:r>
        </a:p>
      </cdr:txBody>
    </cdr:sp>
  </cdr:relSizeAnchor>
  <cdr:relSizeAnchor xmlns:cdr="http://schemas.openxmlformats.org/drawingml/2006/chartDrawing">
    <cdr:from>
      <cdr:x>0.10525</cdr:x>
      <cdr:y>0.08425</cdr:y>
    </cdr:from>
    <cdr:to>
      <cdr:x>0.21175</cdr:x>
      <cdr:y>0.138</cdr:y>
    </cdr:to>
    <cdr:sp macro="" textlink="">
      <cdr:nvSpPr>
        <cdr:cNvPr id="1061" name="Text 4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03258" y="491921"/>
          <a:ext cx="913986" cy="3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Supplies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K20"/>
  <sheetViews>
    <sheetView tabSelected="1" workbookViewId="0">
      <selection activeCell="B20" sqref="B20"/>
    </sheetView>
  </sheetViews>
  <sheetFormatPr defaultRowHeight="15"/>
  <cols>
    <col min="1" max="1" width="12.5703125" style="2" customWidth="1"/>
    <col min="2" max="2" width="14.42578125" style="2" customWidth="1"/>
    <col min="3" max="6" width="9.140625" style="2"/>
    <col min="7" max="7" width="12.5703125" style="2" customWidth="1"/>
    <col min="8" max="8" width="7.7109375" style="2" customWidth="1"/>
    <col min="9" max="9" width="12.7109375" style="2" customWidth="1"/>
    <col min="10" max="10" width="19.85546875" style="2" bestFit="1" customWidth="1"/>
    <col min="11" max="16384" width="9.140625" style="2"/>
  </cols>
  <sheetData>
    <row r="1" spans="1:11">
      <c r="A1" s="1" t="s">
        <v>26</v>
      </c>
      <c r="I1" s="1" t="s">
        <v>27</v>
      </c>
      <c r="J1" s="3"/>
      <c r="K1" s="3"/>
    </row>
    <row r="2" spans="1:11">
      <c r="I2" s="3" t="s">
        <v>18</v>
      </c>
      <c r="J2" s="3" t="s">
        <v>28</v>
      </c>
      <c r="K2" s="3"/>
    </row>
    <row r="3" spans="1:11">
      <c r="A3" s="1" t="s">
        <v>0</v>
      </c>
      <c r="I3" s="3" t="s">
        <v>19</v>
      </c>
      <c r="J3" s="3" t="s">
        <v>29</v>
      </c>
      <c r="K3" s="3"/>
    </row>
    <row r="4" spans="1:11">
      <c r="C4" s="4" t="s">
        <v>1</v>
      </c>
      <c r="D4" s="5"/>
      <c r="E4" s="5"/>
      <c r="F4" s="5"/>
      <c r="I4" s="3" t="s">
        <v>30</v>
      </c>
      <c r="J4" s="3" t="s">
        <v>31</v>
      </c>
      <c r="K4" s="3"/>
    </row>
    <row r="5" spans="1:11">
      <c r="C5" s="6" t="s">
        <v>2</v>
      </c>
      <c r="D5" s="6" t="s">
        <v>3</v>
      </c>
      <c r="E5" s="6" t="s">
        <v>4</v>
      </c>
      <c r="F5" s="6" t="s">
        <v>5</v>
      </c>
      <c r="I5" s="3" t="s">
        <v>32</v>
      </c>
      <c r="J5" s="3" t="s">
        <v>33</v>
      </c>
      <c r="K5" s="3"/>
    </row>
    <row r="6" spans="1:11">
      <c r="A6" s="2" t="s">
        <v>7</v>
      </c>
      <c r="B6" s="2" t="s">
        <v>6</v>
      </c>
      <c r="C6" s="7">
        <v>8</v>
      </c>
      <c r="D6" s="7">
        <v>6</v>
      </c>
      <c r="E6" s="7">
        <v>10</v>
      </c>
      <c r="F6" s="7">
        <v>9</v>
      </c>
      <c r="I6" s="3" t="s">
        <v>34</v>
      </c>
      <c r="J6" s="3" t="s">
        <v>35</v>
      </c>
      <c r="K6" s="3"/>
    </row>
    <row r="7" spans="1:11">
      <c r="B7" s="2" t="s">
        <v>8</v>
      </c>
      <c r="C7" s="7">
        <v>9</v>
      </c>
      <c r="D7" s="7">
        <v>12</v>
      </c>
      <c r="E7" s="7">
        <v>13</v>
      </c>
      <c r="F7" s="7">
        <v>7</v>
      </c>
      <c r="I7" s="3" t="s">
        <v>36</v>
      </c>
      <c r="J7" s="3" t="s">
        <v>37</v>
      </c>
    </row>
    <row r="8" spans="1:11">
      <c r="B8" s="2" t="s">
        <v>9</v>
      </c>
      <c r="C8" s="7">
        <v>14</v>
      </c>
      <c r="D8" s="7">
        <v>9</v>
      </c>
      <c r="E8" s="7">
        <v>16</v>
      </c>
      <c r="F8" s="7">
        <v>5</v>
      </c>
      <c r="I8" s="3" t="s">
        <v>38</v>
      </c>
      <c r="J8" s="3" t="s">
        <v>39</v>
      </c>
    </row>
    <row r="10" spans="1:11">
      <c r="A10" s="1" t="s">
        <v>11</v>
      </c>
    </row>
    <row r="11" spans="1:11">
      <c r="C11" s="4" t="s">
        <v>1</v>
      </c>
      <c r="D11" s="5"/>
      <c r="E11" s="5"/>
      <c r="F11" s="5"/>
    </row>
    <row r="12" spans="1:11">
      <c r="C12" s="6" t="s">
        <v>2</v>
      </c>
      <c r="D12" s="6" t="s">
        <v>3</v>
      </c>
      <c r="E12" s="6" t="s">
        <v>4</v>
      </c>
      <c r="F12" s="6" t="s">
        <v>5</v>
      </c>
      <c r="G12" s="6" t="s">
        <v>12</v>
      </c>
      <c r="H12" s="6"/>
      <c r="I12" s="6" t="s">
        <v>16</v>
      </c>
      <c r="K12" s="6"/>
    </row>
    <row r="13" spans="1:11">
      <c r="A13" s="2" t="s">
        <v>7</v>
      </c>
      <c r="B13" s="2" t="s">
        <v>6</v>
      </c>
      <c r="C13" s="8">
        <v>0</v>
      </c>
      <c r="D13" s="8">
        <v>55</v>
      </c>
      <c r="E13" s="8">
        <v>15</v>
      </c>
      <c r="F13" s="8">
        <v>0</v>
      </c>
      <c r="G13" s="2">
        <f>SUM(C13:F13)</f>
        <v>70</v>
      </c>
      <c r="H13" s="9" t="s">
        <v>13</v>
      </c>
      <c r="I13" s="10">
        <v>70</v>
      </c>
    </row>
    <row r="14" spans="1:11">
      <c r="B14" s="2" t="s">
        <v>8</v>
      </c>
      <c r="C14" s="8">
        <v>30</v>
      </c>
      <c r="D14" s="8">
        <v>0</v>
      </c>
      <c r="E14" s="8">
        <v>25</v>
      </c>
      <c r="F14" s="8">
        <v>15</v>
      </c>
      <c r="G14" s="2">
        <f>SUM(C14:F14)</f>
        <v>70</v>
      </c>
      <c r="H14" s="9" t="s">
        <v>13</v>
      </c>
      <c r="I14" s="10">
        <v>75</v>
      </c>
    </row>
    <row r="15" spans="1:11">
      <c r="B15" s="2" t="s">
        <v>9</v>
      </c>
      <c r="C15" s="8">
        <v>0</v>
      </c>
      <c r="D15" s="8">
        <v>0</v>
      </c>
      <c r="E15" s="8">
        <v>0</v>
      </c>
      <c r="F15" s="8">
        <v>45</v>
      </c>
      <c r="G15" s="2">
        <f>SUM(C15:F15)</f>
        <v>45</v>
      </c>
      <c r="H15" s="9" t="s">
        <v>13</v>
      </c>
      <c r="I15" s="10">
        <v>45</v>
      </c>
    </row>
    <row r="16" spans="1:11">
      <c r="B16" s="2" t="s">
        <v>14</v>
      </c>
      <c r="C16" s="2">
        <f>SUM(C13:C15)</f>
        <v>30</v>
      </c>
      <c r="D16" s="2">
        <f>SUM(D13:D15)</f>
        <v>55</v>
      </c>
      <c r="E16" s="2">
        <f>SUM(E13:E15)</f>
        <v>40</v>
      </c>
      <c r="F16" s="2">
        <f>SUM(F13:F15)</f>
        <v>60</v>
      </c>
    </row>
    <row r="17" spans="1:11">
      <c r="C17" s="11" t="s">
        <v>15</v>
      </c>
      <c r="D17" s="11" t="s">
        <v>15</v>
      </c>
      <c r="E17" s="11" t="s">
        <v>15</v>
      </c>
      <c r="F17" s="11" t="s">
        <v>15</v>
      </c>
      <c r="K17" s="6"/>
    </row>
    <row r="18" spans="1:11">
      <c r="B18" s="2" t="s">
        <v>17</v>
      </c>
      <c r="C18" s="10">
        <v>30</v>
      </c>
      <c r="D18" s="10">
        <v>55</v>
      </c>
      <c r="E18" s="10">
        <v>40</v>
      </c>
      <c r="F18" s="10">
        <v>60</v>
      </c>
      <c r="K18" s="12"/>
    </row>
    <row r="20" spans="1:11">
      <c r="A20" s="13" t="s">
        <v>10</v>
      </c>
      <c r="B20" s="14">
        <f>SUMPRODUCT(UnitCosts,Shipped)</f>
        <v>1405</v>
      </c>
    </row>
  </sheetData>
  <phoneticPr fontId="0" type="noConversion"/>
  <printOptions horizontalCentered="1" verticalCentered="1" headings="1" gridLines="1" gridLinesSet="0"/>
  <pageMargins left="0.75" right="0.75" top="1" bottom="1" header="0.5" footer="0.5"/>
  <pageSetup orientation="portrait" horizontalDpi="300" verticalDpi="300" r:id="rId1"/>
  <headerFooter alignWithMargins="0">
    <oddFooter>&amp;C&amp;"Arial,Bold"Exhibit 2</oddFooter>
  </headerFooter>
  <legacyDrawing r:id="rId2"/>
  <controls>
    <control shapeId="2049" r:id="rId3" name="btnScenario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F13"/>
  <sheetViews>
    <sheetView workbookViewId="0">
      <selection activeCell="F20" sqref="F20"/>
    </sheetView>
  </sheetViews>
  <sheetFormatPr defaultRowHeight="15"/>
  <cols>
    <col min="1" max="1" width="14.28515625" style="16" customWidth="1"/>
    <col min="2" max="2" width="10.7109375" style="16" customWidth="1"/>
    <col min="3" max="6" width="9.85546875" style="16" bestFit="1" customWidth="1"/>
    <col min="7" max="7" width="9.140625" style="16"/>
    <col min="8" max="8" width="7.7109375" style="16" customWidth="1"/>
    <col min="9" max="16384" width="9.140625" style="16"/>
  </cols>
  <sheetData>
    <row r="1" spans="1:6">
      <c r="A1" s="15" t="s">
        <v>20</v>
      </c>
    </row>
    <row r="3" spans="1:6">
      <c r="B3" s="18" t="s">
        <v>21</v>
      </c>
      <c r="C3" s="18" t="s">
        <v>22</v>
      </c>
      <c r="D3" s="18" t="s">
        <v>23</v>
      </c>
      <c r="E3" s="18" t="s">
        <v>24</v>
      </c>
      <c r="F3" s="18" t="s">
        <v>25</v>
      </c>
    </row>
    <row r="4" spans="1:6">
      <c r="A4" s="16" t="s">
        <v>18</v>
      </c>
    </row>
    <row r="5" spans="1:6">
      <c r="A5" s="16" t="s">
        <v>6</v>
      </c>
      <c r="B5" s="16">
        <v>35</v>
      </c>
      <c r="C5" s="16">
        <v>65</v>
      </c>
      <c r="D5" s="16">
        <v>45</v>
      </c>
      <c r="E5" s="16">
        <v>50</v>
      </c>
      <c r="F5" s="16">
        <v>70</v>
      </c>
    </row>
    <row r="6" spans="1:6">
      <c r="A6" s="16" t="s">
        <v>8</v>
      </c>
      <c r="B6" s="16">
        <v>50</v>
      </c>
      <c r="C6" s="16">
        <v>60</v>
      </c>
      <c r="D6" s="16">
        <v>50</v>
      </c>
      <c r="E6" s="16">
        <v>70</v>
      </c>
      <c r="F6" s="16">
        <v>75</v>
      </c>
    </row>
    <row r="7" spans="1:6">
      <c r="A7" s="16" t="s">
        <v>9</v>
      </c>
      <c r="B7" s="16">
        <v>40</v>
      </c>
      <c r="C7" s="16">
        <v>70</v>
      </c>
      <c r="D7" s="16">
        <v>70</v>
      </c>
      <c r="E7" s="16">
        <v>60</v>
      </c>
      <c r="F7" s="16">
        <v>45</v>
      </c>
    </row>
    <row r="9" spans="1:6">
      <c r="A9" s="16" t="s">
        <v>19</v>
      </c>
    </row>
    <row r="10" spans="1:6">
      <c r="A10" s="16" t="s">
        <v>2</v>
      </c>
      <c r="B10" s="16">
        <v>45</v>
      </c>
      <c r="C10" s="16">
        <v>60</v>
      </c>
      <c r="D10" s="16">
        <v>40</v>
      </c>
      <c r="E10" s="16">
        <v>25</v>
      </c>
      <c r="F10" s="16">
        <v>30</v>
      </c>
    </row>
    <row r="11" spans="1:6">
      <c r="A11" s="16" t="s">
        <v>3</v>
      </c>
      <c r="B11" s="16">
        <v>20</v>
      </c>
      <c r="C11" s="16">
        <v>40</v>
      </c>
      <c r="D11" s="16">
        <v>30</v>
      </c>
      <c r="E11" s="16">
        <v>35</v>
      </c>
      <c r="F11" s="16">
        <v>55</v>
      </c>
    </row>
    <row r="12" spans="1:6">
      <c r="A12" s="16" t="s">
        <v>4</v>
      </c>
      <c r="B12" s="16">
        <v>30</v>
      </c>
      <c r="C12" s="16">
        <v>25</v>
      </c>
      <c r="D12" s="16">
        <v>20</v>
      </c>
      <c r="E12" s="16">
        <v>40</v>
      </c>
      <c r="F12" s="16">
        <v>40</v>
      </c>
    </row>
    <row r="13" spans="1:6">
      <c r="A13" s="16" t="s">
        <v>5</v>
      </c>
      <c r="B13" s="16">
        <v>30</v>
      </c>
      <c r="C13" s="16">
        <v>35</v>
      </c>
      <c r="D13" s="16">
        <v>50</v>
      </c>
      <c r="E13" s="16">
        <v>35</v>
      </c>
      <c r="F13" s="16">
        <v>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F60"/>
  <sheetViews>
    <sheetView workbookViewId="0">
      <selection activeCell="A9" sqref="A9"/>
    </sheetView>
  </sheetViews>
  <sheetFormatPr defaultRowHeight="15"/>
  <cols>
    <col min="1" max="1" width="39.140625" style="16" bestFit="1" customWidth="1"/>
    <col min="2" max="7" width="9.140625" style="16"/>
    <col min="8" max="8" width="7.7109375" style="16" customWidth="1"/>
    <col min="9" max="16384" width="9.140625" style="16"/>
  </cols>
  <sheetData>
    <row r="1" spans="1:6">
      <c r="A1" s="15"/>
    </row>
    <row r="5" spans="1:6">
      <c r="F5" s="17"/>
    </row>
    <row r="11" spans="1:6">
      <c r="F11" s="19"/>
    </row>
    <row r="17" spans="6:6">
      <c r="F17" s="19"/>
    </row>
    <row r="18" spans="6:6">
      <c r="F18" s="19"/>
    </row>
    <row r="23" spans="6:6">
      <c r="F23" s="19"/>
    </row>
    <row r="25" spans="6:6">
      <c r="F25" s="19"/>
    </row>
    <row r="29" spans="6:6">
      <c r="F29" s="19"/>
    </row>
    <row r="32" spans="6:6">
      <c r="F32" s="19"/>
    </row>
    <row r="39" spans="6:6">
      <c r="F39" s="19"/>
    </row>
    <row r="46" spans="6:6">
      <c r="F46" s="19"/>
    </row>
    <row r="53" spans="6:6">
      <c r="F53" s="19"/>
    </row>
    <row r="60" spans="6:6">
      <c r="F60" s="19"/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Model</vt:lpstr>
      <vt:lpstr>Scenarios</vt:lpstr>
      <vt:lpstr>Results</vt:lpstr>
      <vt:lpstr>Chart1</vt:lpstr>
      <vt:lpstr>Capacities</vt:lpstr>
      <vt:lpstr>Demands</vt:lpstr>
      <vt:lpstr>Shipped</vt:lpstr>
      <vt:lpstr>ShippedIn</vt:lpstr>
      <vt:lpstr>ShippedOut</vt:lpstr>
      <vt:lpstr>TotalCost</vt:lpstr>
      <vt:lpstr>UnitCosts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DS</cp:lastModifiedBy>
  <dcterms:created xsi:type="dcterms:W3CDTF">1997-08-23T19:52:10Z</dcterms:created>
  <dcterms:modified xsi:type="dcterms:W3CDTF">2014-04-07T12:51:19Z</dcterms:modified>
</cp:coreProperties>
</file>