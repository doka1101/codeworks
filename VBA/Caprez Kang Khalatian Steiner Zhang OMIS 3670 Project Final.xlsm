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autoCompressPictures="0"/>
  <bookViews>
    <workbookView xWindow="0" yWindow="240" windowWidth="19320" windowHeight="11520" tabRatio="616"/>
  </bookViews>
  <sheets>
    <sheet name="Welcome" sheetId="15" r:id="rId1"/>
    <sheet name="Capacity" sheetId="12" state="hidden" r:id="rId2"/>
    <sheet name="Parking Log" sheetId="9" state="hidden" r:id="rId3"/>
    <sheet name="Pricing" sheetId="10" state="hidden" r:id="rId4"/>
    <sheet name="SAnalysis" sheetId="17" state="hidden" r:id="rId5"/>
    <sheet name="Optimize Parking Report" sheetId="18" state="hidden" r:id="rId6"/>
    <sheet name="Search Results" sheetId="19" state="hidden" r:id="rId7"/>
  </sheets>
  <functionGroups builtInGroupCount="17"/>
  <definedNames>
    <definedName name="_xlnm._FilterDatabase" localSheetId="2" hidden="1">'Parking Log'!$B$2:$C$4</definedName>
    <definedName name="Block1">SAnalysis!$K$3:$K$7</definedName>
    <definedName name="Block10">SAnalysis!$K$48:$K$52</definedName>
    <definedName name="Block11">SAnalysis!$K$53:$K$57</definedName>
    <definedName name="Block12">SAnalysis!$K$58:$K$62</definedName>
    <definedName name="Block13">SAnalysis!$K$63:$K$67</definedName>
    <definedName name="Block2">SAnalysis!$K$8:$K$12</definedName>
    <definedName name="Block3">SAnalysis!$K$13:$K$17</definedName>
    <definedName name="Block4">SAnalysis!$K$18:$K$22</definedName>
    <definedName name="Block5">SAnalysis!$K$23:$K$27</definedName>
    <definedName name="Block6">SAnalysis!$K$28:$K$32</definedName>
    <definedName name="Block7">SAnalysis!$K$33:$K$37</definedName>
    <definedName name="Block8">SAnalysis!$K$38:$K$42</definedName>
    <definedName name="Block9">SAnalysis!$K$43:$K$47</definedName>
    <definedName name="DD" localSheetId="1">#REF!</definedName>
    <definedName name="DD">#REF!</definedName>
    <definedName name="DP" localSheetId="1">#REF!</definedName>
    <definedName name="DP">#REF!</definedName>
    <definedName name="Lot_A">#REF!</definedName>
    <definedName name="ObjFunc">SAnalysis!$S$3</definedName>
    <definedName name="OD" localSheetId="1">#REF!</definedName>
    <definedName name="OD">#REF!</definedName>
    <definedName name="OP" localSheetId="1">#REF!</definedName>
    <definedName name="OP">#REF!</definedName>
    <definedName name="parkedSpots">SAnalysis!$K$3:$K$62</definedName>
    <definedName name="pRates">SAnalysis!$D$4:$D$63</definedName>
    <definedName name="referenz" localSheetId="1">#REF!</definedName>
    <definedName name="referenz">'Parking Log'!#REF!</definedName>
    <definedName name="solver_adj" localSheetId="4" hidden="1">SAnalysis!$K$3:$K$62</definedName>
    <definedName name="solver_cvg" localSheetId="4" hidden="1">0.0001</definedName>
    <definedName name="solver_drv" localSheetId="4" hidden="1">1</definedName>
    <definedName name="solver_eng" localSheetId="4" hidden="1">2</definedName>
    <definedName name="solver_est" localSheetId="4" hidden="1">1</definedName>
    <definedName name="solver_itr" localSheetId="4" hidden="1">100</definedName>
    <definedName name="solver_lhs1" localSheetId="4" hidden="1">SAnalysis!$K$3:$K$62</definedName>
    <definedName name="solver_lhs10" localSheetId="4" hidden="1">SAnalysis!$N$11</definedName>
    <definedName name="solver_lhs11" localSheetId="4" hidden="1">SAnalysis!$N$12</definedName>
    <definedName name="solver_lhs12" localSheetId="4" hidden="1">SAnalysis!$N$13</definedName>
    <definedName name="solver_lhs13" localSheetId="4" hidden="1">SAnalysis!$N$14</definedName>
    <definedName name="solver_lhs14" localSheetId="4" hidden="1">SAnalysis!$N$15</definedName>
    <definedName name="solver_lhs15" localSheetId="4" hidden="1">SAnalysis!$N$16</definedName>
    <definedName name="solver_lhs16" localSheetId="4" hidden="1">SAnalysis!$N$17</definedName>
    <definedName name="solver_lhs17" localSheetId="4" hidden="1">SAnalysis!$N$18</definedName>
    <definedName name="solver_lhs18" localSheetId="4" hidden="1">SAnalysis!$N$19</definedName>
    <definedName name="solver_lhs19" localSheetId="4" hidden="1">SAnalysis!$N$20</definedName>
    <definedName name="solver_lhs2" localSheetId="4" hidden="1">SAnalysis!$N$3</definedName>
    <definedName name="solver_lhs3" localSheetId="4" hidden="1">SAnalysis!$N$4</definedName>
    <definedName name="solver_lhs4" localSheetId="4" hidden="1">SAnalysis!$N$5</definedName>
    <definedName name="solver_lhs5" localSheetId="4" hidden="1">SAnalysis!$N$6</definedName>
    <definedName name="solver_lhs6" localSheetId="4" hidden="1">SAnalysis!$N$7</definedName>
    <definedName name="solver_lhs7" localSheetId="4" hidden="1">SAnalysis!$N$8</definedName>
    <definedName name="solver_lhs8" localSheetId="4" hidden="1">SAnalysis!$N$9</definedName>
    <definedName name="solver_lhs9" localSheetId="4" hidden="1">SAnalysis!$N$10</definedName>
    <definedName name="solver_lin" localSheetId="4" hidden="1">1</definedName>
    <definedName name="solver_neg" localSheetId="4" hidden="1">1</definedName>
    <definedName name="solver_num" localSheetId="4" hidden="1">18</definedName>
    <definedName name="solver_nwt" localSheetId="4" hidden="1">1</definedName>
    <definedName name="solver_opt" localSheetId="4" hidden="1">SAnalysis!$S$3</definedName>
    <definedName name="solver_pre" localSheetId="4" hidden="1">0.000001</definedName>
    <definedName name="solver_rel1" localSheetId="4" hidden="1">5</definedName>
    <definedName name="solver_rel10" localSheetId="4" hidden="1">2</definedName>
    <definedName name="solver_rel11" localSheetId="4" hidden="1">2</definedName>
    <definedName name="solver_rel12" localSheetId="4" hidden="1">2</definedName>
    <definedName name="solver_rel13" localSheetId="4" hidden="1">2</definedName>
    <definedName name="solver_rel14" localSheetId="4" hidden="1">1</definedName>
    <definedName name="solver_rel15" localSheetId="4" hidden="1">1</definedName>
    <definedName name="solver_rel16" localSheetId="4" hidden="1">1</definedName>
    <definedName name="solver_rel17" localSheetId="4" hidden="1">1</definedName>
    <definedName name="solver_rel18" localSheetId="4" hidden="1">1</definedName>
    <definedName name="solver_rel19" localSheetId="4" hidden="1">1</definedName>
    <definedName name="solver_rel2" localSheetId="4" hidden="1">2</definedName>
    <definedName name="solver_rel3" localSheetId="4" hidden="1">2</definedName>
    <definedName name="solver_rel4" localSheetId="4" hidden="1">2</definedName>
    <definedName name="solver_rel5" localSheetId="4" hidden="1">2</definedName>
    <definedName name="solver_rel6" localSheetId="4" hidden="1">2</definedName>
    <definedName name="solver_rel7" localSheetId="4" hidden="1">2</definedName>
    <definedName name="solver_rel8" localSheetId="4" hidden="1">2</definedName>
    <definedName name="solver_rel9" localSheetId="4" hidden="1">2</definedName>
    <definedName name="solver_rhs1" localSheetId="4" hidden="1">binary</definedName>
    <definedName name="solver_rhs10" localSheetId="4" hidden="1">1</definedName>
    <definedName name="solver_rhs11" localSheetId="4" hidden="1">1</definedName>
    <definedName name="solver_rhs12" localSheetId="4" hidden="1">1</definedName>
    <definedName name="solver_rhs13" localSheetId="4" hidden="1">1</definedName>
    <definedName name="solver_rhs14" localSheetId="4" hidden="1">12</definedName>
    <definedName name="solver_rhs15" localSheetId="4" hidden="1">10</definedName>
    <definedName name="solver_rhs16" localSheetId="4" hidden="1">10</definedName>
    <definedName name="solver_rhs17" localSheetId="4" hidden="1">9</definedName>
    <definedName name="solver_rhs18" localSheetId="4" hidden="1">7</definedName>
    <definedName name="solver_rhs19" localSheetId="4" hidden="1">5</definedName>
    <definedName name="solver_rhs2" localSheetId="4" hidden="1">1</definedName>
    <definedName name="solver_rhs3" localSheetId="4" hidden="1">1</definedName>
    <definedName name="solver_rhs4" localSheetId="4" hidden="1">1</definedName>
    <definedName name="solver_rhs5" localSheetId="4" hidden="1">1</definedName>
    <definedName name="solver_rhs6" localSheetId="4" hidden="1">1</definedName>
    <definedName name="solver_rhs7" localSheetId="4" hidden="1">1</definedName>
    <definedName name="solver_rhs8" localSheetId="4" hidden="1">1</definedName>
    <definedName name="solver_rhs9" localSheetId="4" hidden="1">1</definedName>
    <definedName name="solver_scl" localSheetId="4" hidden="1">1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olver_ver" localSheetId="4" hidden="1">3</definedName>
  </definedNames>
  <calcPr calcId="145621"/>
</workbook>
</file>

<file path=xl/calcChain.xml><?xml version="1.0" encoding="utf-8"?>
<calcChain xmlns="http://schemas.openxmlformats.org/spreadsheetml/2006/main">
  <c r="S3" i="17" l="1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</calcChain>
</file>

<file path=xl/sharedStrings.xml><?xml version="1.0" encoding="utf-8"?>
<sst xmlns="http://schemas.openxmlformats.org/spreadsheetml/2006/main" count="503" uniqueCount="49">
  <si>
    <t xml:space="preserve">Type </t>
  </si>
  <si>
    <t>Compact</t>
  </si>
  <si>
    <t>Minivan</t>
  </si>
  <si>
    <t>SUV</t>
  </si>
  <si>
    <t>Night</t>
  </si>
  <si>
    <t>Weekend</t>
  </si>
  <si>
    <t>Car Type</t>
  </si>
  <si>
    <t>Occupied</t>
  </si>
  <si>
    <t>Total</t>
  </si>
  <si>
    <t>Time</t>
  </si>
  <si>
    <t>Parking Lot</t>
  </si>
  <si>
    <t>D</t>
  </si>
  <si>
    <t>B</t>
  </si>
  <si>
    <t>Available</t>
  </si>
  <si>
    <t>Rate</t>
  </si>
  <si>
    <t>Working Hours</t>
  </si>
  <si>
    <t>A</t>
  </si>
  <si>
    <t>C</t>
  </si>
  <si>
    <t>E</t>
  </si>
  <si>
    <t>Input</t>
  </si>
  <si>
    <t>vehicle</t>
  </si>
  <si>
    <t>Available Capacity</t>
  </si>
  <si>
    <t>Decision Variables</t>
  </si>
  <si>
    <t>Constraints</t>
  </si>
  <si>
    <t>=</t>
  </si>
  <si>
    <t>&lt;=</t>
  </si>
  <si>
    <t>Objective Function</t>
  </si>
  <si>
    <t>Minimum Cost</t>
  </si>
  <si>
    <t xml:space="preserve">ParkSmart Version 1.0 is a decision system support application that assigns unrented vehicles to designated parking lots. </t>
  </si>
  <si>
    <t>ParkSmart Version 1.0</t>
  </si>
  <si>
    <t>Vehicle Type</t>
  </si>
  <si>
    <t>Lot Name</t>
  </si>
  <si>
    <t>Period</t>
  </si>
  <si>
    <t>Rate ($/hr)</t>
  </si>
  <si>
    <t>Optimum Parking Spots for Unoccupied Vehicles</t>
  </si>
  <si>
    <t>Vehicle Name</t>
  </si>
  <si>
    <t>Parking Rate</t>
  </si>
  <si>
    <t>vehicle Type</t>
  </si>
  <si>
    <t>Parking lot</t>
  </si>
  <si>
    <t>Arrival Time</t>
  </si>
  <si>
    <t>Vehicle</t>
  </si>
  <si>
    <t>Departure Time</t>
  </si>
  <si>
    <t>Sensitivity Analysis for &lt;NIGHT&gt;.</t>
  </si>
  <si>
    <t>Date: 2014-04-02 오전 4:19:09</t>
  </si>
  <si>
    <t>The minimum cost has changed from $61 to $55</t>
  </si>
  <si>
    <t>R</t>
  </si>
  <si>
    <t>WeekEnd</t>
  </si>
  <si>
    <t>Y</t>
  </si>
  <si>
    <t>Best Time for Vehicle Type: &lt;MINIVAN&gt; and Parking Lot: &lt;C&gt;.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</si>
</sst>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b/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22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1" fillId="0" borderId="0"/>
    <xf numFmtId="0" fontId="10" fillId="0" borderId="0"/>
    <xf numFmtId="0" fontId="5" fillId="0" borderId="0"/>
    <xf numFmtId="0" fontId="11" fillId="0" borderId="0"/>
    <xf numFmtId="0" fontId="4" fillId="0" borderId="0"/>
  </cellStyleXfs>
  <cellXfs count="60">
    <xf numFmtId="0" fontId="0" fillId="0" borderId="0" xfId="0"/>
    <xf numFmtId="0" fontId="6" fillId="0" borderId="0" xfId="0" applyFont="1"/>
    <xf numFmtId="0" fontId="0" fillId="2" borderId="0" xfId="0" applyFill="1"/>
    <xf numFmtId="0" fontId="0" fillId="3" borderId="2" xfId="0" applyFill="1" applyBorder="1" applyAlignment="1"/>
    <xf numFmtId="0" fontId="0" fillId="3" borderId="8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6" xfId="0" applyFill="1" applyBorder="1" applyAlignment="1"/>
    <xf numFmtId="0" fontId="0" fillId="3" borderId="5" xfId="0" applyFill="1" applyBorder="1" applyAlignment="1"/>
    <xf numFmtId="0" fontId="0" fillId="3" borderId="0" xfId="0" applyFill="1" applyBorder="1" applyAlignment="1"/>
    <xf numFmtId="0" fontId="0" fillId="3" borderId="6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2" borderId="0" xfId="0" applyFill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2" borderId="0" xfId="0" applyFill="1" applyBorder="1" applyAlignment="1">
      <alignment horizontal="center" vertical="top"/>
    </xf>
    <xf numFmtId="0" fontId="6" fillId="2" borderId="0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11" fillId="2" borderId="0" xfId="215" applyFill="1"/>
    <xf numFmtId="0" fontId="11" fillId="2" borderId="0" xfId="215" applyFill="1" applyBorder="1" applyAlignment="1">
      <alignment horizontal="center"/>
    </xf>
    <xf numFmtId="0" fontId="0" fillId="2" borderId="0" xfId="0" applyFill="1" applyBorder="1" applyAlignment="1">
      <alignment vertical="top"/>
    </xf>
    <xf numFmtId="1" fontId="0" fillId="2" borderId="0" xfId="0" applyNumberFormat="1" applyFill="1" applyBorder="1" applyAlignment="1">
      <alignment horizontal="center" vertical="top"/>
    </xf>
    <xf numFmtId="0" fontId="13" fillId="2" borderId="9" xfId="0" applyFont="1" applyFill="1" applyBorder="1" applyAlignment="1">
      <alignment horizontal="center" vertical="top"/>
    </xf>
    <xf numFmtId="0" fontId="9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9" fillId="2" borderId="0" xfId="0" applyNumberFormat="1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20" fontId="2" fillId="2" borderId="0" xfId="0" applyNumberFormat="1" applyFont="1" applyFill="1" applyBorder="1" applyAlignment="1">
      <alignment horizontal="center" vertical="top"/>
    </xf>
    <xf numFmtId="1" fontId="2" fillId="2" borderId="0" xfId="0" applyNumberFormat="1" applyFont="1" applyFill="1" applyBorder="1" applyAlignment="1">
      <alignment horizontal="center" vertical="top"/>
    </xf>
    <xf numFmtId="1" fontId="9" fillId="2" borderId="0" xfId="0" applyNumberFormat="1" applyFont="1" applyFill="1" applyBorder="1" applyAlignment="1">
      <alignment horizontal="center" vertical="top"/>
    </xf>
    <xf numFmtId="0" fontId="15" fillId="2" borderId="0" xfId="0" applyFont="1" applyFill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0" fillId="2" borderId="2" xfId="216" applyFont="1" applyFill="1" applyBorder="1" applyAlignment="1">
      <alignment horizontal="center" vertical="top"/>
    </xf>
    <xf numFmtId="0" fontId="3" fillId="2" borderId="2" xfId="215" applyFont="1" applyFill="1" applyBorder="1" applyAlignment="1">
      <alignment horizontal="center" vertical="top"/>
    </xf>
    <xf numFmtId="0" fontId="10" fillId="2" borderId="2" xfId="216" applyFont="1" applyFill="1" applyBorder="1" applyAlignment="1">
      <alignment horizontal="center" vertical="top"/>
    </xf>
    <xf numFmtId="0" fontId="0" fillId="2" borderId="0" xfId="216" applyFont="1" applyFill="1" applyBorder="1" applyAlignment="1">
      <alignment horizontal="center" vertical="top"/>
    </xf>
    <xf numFmtId="0" fontId="3" fillId="2" borderId="0" xfId="215" applyFont="1" applyFill="1" applyBorder="1" applyAlignment="1">
      <alignment horizontal="center" vertical="top"/>
    </xf>
    <xf numFmtId="0" fontId="10" fillId="2" borderId="0" xfId="216" applyFont="1" applyFill="1" applyBorder="1" applyAlignment="1">
      <alignment horizontal="center" vertical="top"/>
    </xf>
    <xf numFmtId="0" fontId="4" fillId="2" borderId="0" xfId="215" applyFont="1" applyFill="1" applyBorder="1" applyAlignment="1">
      <alignment horizontal="center" vertical="top"/>
    </xf>
    <xf numFmtId="0" fontId="11" fillId="2" borderId="0" xfId="215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/>
    </xf>
    <xf numFmtId="0" fontId="0" fillId="2" borderId="2" xfId="0" applyFill="1" applyBorder="1" applyAlignment="1">
      <alignment horizontal="center"/>
    </xf>
    <xf numFmtId="0" fontId="0" fillId="2" borderId="0" xfId="0" applyFont="1" applyFill="1" applyBorder="1" applyAlignment="1">
      <alignment horizontal="center" vertical="top"/>
    </xf>
    <xf numFmtId="0" fontId="0" fillId="2" borderId="0" xfId="0" applyFill="1" applyBorder="1" applyAlignment="1">
      <alignment horizontal="center"/>
    </xf>
    <xf numFmtId="0" fontId="12" fillId="3" borderId="6" xfId="0" applyFont="1" applyFill="1" applyBorder="1" applyAlignment="1">
      <alignment horizontal="center" vertical="top"/>
    </xf>
    <xf numFmtId="0" fontId="12" fillId="3" borderId="0" xfId="0" applyFont="1" applyFill="1" applyBorder="1" applyAlignment="1">
      <alignment horizontal="center" vertical="top"/>
    </xf>
    <xf numFmtId="0" fontId="12" fillId="3" borderId="5" xfId="0" applyFont="1" applyFill="1" applyBorder="1" applyAlignment="1">
      <alignment horizontal="center" vertical="top"/>
    </xf>
    <xf numFmtId="0" fontId="0" fillId="2" borderId="8" xfId="0" applyFont="1" applyFill="1" applyBorder="1" applyAlignment="1">
      <alignment horizontal="center" vertical="top" wrapText="1"/>
    </xf>
    <xf numFmtId="0" fontId="0" fillId="2" borderId="2" xfId="0" applyFont="1" applyFill="1" applyBorder="1" applyAlignment="1">
      <alignment horizontal="center" vertical="top" wrapText="1"/>
    </xf>
    <xf numFmtId="0" fontId="0" fillId="2" borderId="7" xfId="0" applyFont="1" applyFill="1" applyBorder="1" applyAlignment="1">
      <alignment horizontal="center" vertical="top" wrapText="1"/>
    </xf>
    <xf numFmtId="0" fontId="0" fillId="2" borderId="6" xfId="0" applyFont="1" applyFill="1" applyBorder="1" applyAlignment="1">
      <alignment horizontal="center" vertical="top" wrapText="1"/>
    </xf>
    <xf numFmtId="0" fontId="0" fillId="2" borderId="0" xfId="0" applyFont="1" applyFill="1" applyBorder="1" applyAlignment="1">
      <alignment horizontal="center" vertical="top" wrapText="1"/>
    </xf>
    <xf numFmtId="0" fontId="0" fillId="2" borderId="5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Normal" xfId="0" builtinId="0"/>
    <cellStyle name="Normal 2" xfId="216"/>
    <cellStyle name="Normal 3" xfId="218"/>
    <cellStyle name="Normal 3 2" xfId="219"/>
    <cellStyle name="Standard 2" xfId="215"/>
    <cellStyle name="Standard 3" xfId="21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Best Time for Vehicle Type: &lt;MINIVAN&gt; and Parking Lot: &lt;C&gt;.</c:v>
          </c:tx>
          <c:invertIfNegative val="0"/>
          <c:cat>
            <c:strRef>
              <c:f>'Search Results'!$C$5</c:f>
              <c:strCache>
                <c:ptCount val="1"/>
                <c:pt idx="0">
                  <c:v>Weekend</c:v>
                </c:pt>
              </c:strCache>
            </c:strRef>
          </c:cat>
          <c:val>
            <c:numRef>
              <c:f>'Search Results'!$D$5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6335616"/>
        <c:axId val="166337152"/>
        <c:axId val="0"/>
      </c:bar3DChart>
      <c:catAx>
        <c:axId val="166335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66337152"/>
        <c:crosses val="autoZero"/>
        <c:auto val="1"/>
        <c:lblAlgn val="ctr"/>
        <c:lblOffset val="100"/>
        <c:noMultiLvlLbl val="0"/>
      </c:catAx>
      <c:valAx>
        <c:axId val="16633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35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Launch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6</xdr:col>
          <xdr:colOff>819150</xdr:colOff>
          <xdr:row>17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See/ Hide Database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797925</xdr:colOff>
      <xdr:row>5</xdr:row>
      <xdr:rowOff>104775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26650" cy="1123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66675</xdr:rowOff>
    </xdr:from>
    <xdr:to>
      <xdr:col>0</xdr:col>
      <xdr:colOff>1486425</xdr:colOff>
      <xdr:row>4</xdr:row>
      <xdr:rowOff>19050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66675"/>
          <a:ext cx="1391175" cy="771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66675</xdr:rowOff>
    </xdr:from>
    <xdr:to>
      <xdr:col>0</xdr:col>
      <xdr:colOff>1495950</xdr:colOff>
      <xdr:row>4</xdr:row>
      <xdr:rowOff>19050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66675"/>
          <a:ext cx="1391175" cy="771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66675</xdr:rowOff>
    </xdr:from>
    <xdr:to>
      <xdr:col>0</xdr:col>
      <xdr:colOff>1495950</xdr:colOff>
      <xdr:row>4</xdr:row>
      <xdr:rowOff>19050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66675"/>
          <a:ext cx="1391175" cy="7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269875</xdr:colOff>
      <xdr:row>11</xdr:row>
      <xdr:rowOff>15875</xdr:rowOff>
    </xdr:from>
    <xdr:to>
      <xdr:col>13</xdr:col>
      <xdr:colOff>231775</xdr:colOff>
      <xdr:row>25</xdr:row>
      <xdr:rowOff>73025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C1:I19"/>
  <sheetViews>
    <sheetView tabSelected="1" zoomScaleNormal="100" workbookViewId="0">
      <selection activeCell="A20" sqref="A20"/>
    </sheetView>
  </sheetViews>
  <sheetFormatPr defaultColWidth="11" defaultRowHeight="15.75"/>
  <cols>
    <col min="1" max="1" width="16.125" style="2" customWidth="1"/>
    <col min="2" max="16384" width="11" style="2"/>
  </cols>
  <sheetData>
    <row r="1" spans="3:9" ht="16.5" thickBot="1"/>
    <row r="2" spans="3:9">
      <c r="C2" s="4"/>
      <c r="D2" s="5"/>
      <c r="E2" s="5"/>
      <c r="F2" s="5"/>
      <c r="G2" s="5"/>
      <c r="H2" s="5"/>
      <c r="I2" s="6"/>
    </row>
    <row r="3" spans="3:9">
      <c r="C3" s="47" t="s">
        <v>29</v>
      </c>
      <c r="D3" s="48"/>
      <c r="E3" s="48"/>
      <c r="F3" s="48"/>
      <c r="G3" s="48"/>
      <c r="H3" s="48"/>
      <c r="I3" s="49"/>
    </row>
    <row r="4" spans="3:9" ht="16.5" thickBot="1">
      <c r="C4" s="47"/>
      <c r="D4" s="48"/>
      <c r="E4" s="48"/>
      <c r="F4" s="48"/>
      <c r="G4" s="48"/>
      <c r="H4" s="48"/>
      <c r="I4" s="49"/>
    </row>
    <row r="5" spans="3:9">
      <c r="C5" s="7"/>
      <c r="D5" s="50" t="s">
        <v>28</v>
      </c>
      <c r="E5" s="51"/>
      <c r="F5" s="51"/>
      <c r="G5" s="51"/>
      <c r="H5" s="52"/>
      <c r="I5" s="8"/>
    </row>
    <row r="6" spans="3:9">
      <c r="C6" s="7"/>
      <c r="D6" s="53"/>
      <c r="E6" s="54"/>
      <c r="F6" s="54"/>
      <c r="G6" s="54"/>
      <c r="H6" s="55"/>
      <c r="I6" s="8"/>
    </row>
    <row r="7" spans="3:9">
      <c r="C7" s="7"/>
      <c r="D7" s="53"/>
      <c r="E7" s="54"/>
      <c r="F7" s="54"/>
      <c r="G7" s="54"/>
      <c r="H7" s="55"/>
      <c r="I7" s="8"/>
    </row>
    <row r="8" spans="3:9" ht="16.5" thickBot="1">
      <c r="C8" s="7"/>
      <c r="D8" s="53"/>
      <c r="E8" s="54"/>
      <c r="F8" s="54"/>
      <c r="G8" s="54"/>
      <c r="H8" s="55"/>
      <c r="I8" s="8"/>
    </row>
    <row r="9" spans="3:9">
      <c r="C9" s="7"/>
      <c r="D9" s="3"/>
      <c r="E9" s="3"/>
      <c r="F9" s="3"/>
      <c r="G9" s="3"/>
      <c r="H9" s="3"/>
      <c r="I9" s="8"/>
    </row>
    <row r="10" spans="3:9">
      <c r="C10" s="7"/>
      <c r="D10" s="9"/>
      <c r="E10" s="9"/>
      <c r="F10" s="9"/>
      <c r="G10" s="9"/>
      <c r="H10" s="9"/>
      <c r="I10" s="8"/>
    </row>
    <row r="11" spans="3:9">
      <c r="C11" s="7"/>
      <c r="D11" s="9"/>
      <c r="E11" s="9"/>
      <c r="F11" s="9"/>
      <c r="G11" s="9"/>
      <c r="H11" s="9"/>
      <c r="I11" s="8"/>
    </row>
    <row r="12" spans="3:9">
      <c r="C12" s="10"/>
      <c r="D12" s="9"/>
      <c r="E12" s="9"/>
      <c r="F12" s="9"/>
      <c r="G12" s="9"/>
      <c r="H12" s="9"/>
      <c r="I12" s="11"/>
    </row>
    <row r="13" spans="3:9">
      <c r="C13" s="10"/>
      <c r="D13" s="9"/>
      <c r="E13" s="9"/>
      <c r="F13" s="9"/>
      <c r="G13" s="9"/>
      <c r="H13" s="9"/>
      <c r="I13" s="11"/>
    </row>
    <row r="14" spans="3:9">
      <c r="C14" s="10"/>
      <c r="D14" s="9"/>
      <c r="E14" s="9"/>
      <c r="F14" s="9"/>
      <c r="G14" s="9"/>
      <c r="H14" s="9"/>
      <c r="I14" s="11"/>
    </row>
    <row r="15" spans="3:9">
      <c r="C15" s="10"/>
      <c r="D15" s="9"/>
      <c r="E15" s="9"/>
      <c r="F15" s="9"/>
      <c r="G15" s="9"/>
      <c r="H15" s="9"/>
      <c r="I15" s="11"/>
    </row>
    <row r="16" spans="3:9">
      <c r="C16" s="10"/>
      <c r="D16" s="12"/>
      <c r="E16" s="12"/>
      <c r="F16" s="12"/>
      <c r="G16" s="12"/>
      <c r="H16" s="12"/>
      <c r="I16" s="11"/>
    </row>
    <row r="17" spans="3:9">
      <c r="C17" s="10"/>
      <c r="D17" s="12"/>
      <c r="E17" s="12"/>
      <c r="F17" s="12"/>
      <c r="G17" s="12"/>
      <c r="H17" s="12"/>
      <c r="I17" s="11"/>
    </row>
    <row r="18" spans="3:9">
      <c r="C18" s="10"/>
      <c r="D18" s="12"/>
      <c r="E18" s="12"/>
      <c r="F18" s="12"/>
      <c r="G18" s="12"/>
      <c r="H18" s="12"/>
      <c r="I18" s="11"/>
    </row>
    <row r="19" spans="3:9" ht="16.5" thickBot="1">
      <c r="C19" s="13"/>
      <c r="D19" s="14"/>
      <c r="E19" s="14"/>
      <c r="F19" s="14"/>
      <c r="G19" s="14"/>
      <c r="H19" s="14"/>
      <c r="I19" s="15"/>
    </row>
  </sheetData>
  <sheetProtection selectLockedCells="1" selectUnlockedCells="1"/>
  <mergeCells count="2">
    <mergeCell ref="C3:I4"/>
    <mergeCell ref="D5:H8"/>
  </mergeCells>
  <pageMargins left="0.7" right="0.7" top="0.78740157499999996" bottom="0.78740157499999996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launchMainMenu">
                <anchor moveWithCells="1" sizeWithCells="1">
                  <from>
                    <xdr:col>4</xdr:col>
                    <xdr:colOff>19050</xdr:colOff>
                    <xdr:row>10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eeAndHideDatabase">
                <anchor moveWithCells="1" sizeWithCells="1">
                  <from>
                    <xdr:col>4</xdr:col>
                    <xdr:colOff>0</xdr:colOff>
                    <xdr:row>14</xdr:row>
                    <xdr:rowOff>9525</xdr:rowOff>
                  </from>
                  <to>
                    <xdr:col>6</xdr:col>
                    <xdr:colOff>819150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9"/>
  <sheetViews>
    <sheetView workbookViewId="0">
      <selection activeCell="D13" sqref="D13"/>
    </sheetView>
  </sheetViews>
  <sheetFormatPr defaultColWidth="11" defaultRowHeight="15.75"/>
  <cols>
    <col min="1" max="1" width="20.875" style="16" customWidth="1"/>
    <col min="2" max="2" width="10.625" style="16" bestFit="1" customWidth="1"/>
    <col min="3" max="3" width="11" style="16" customWidth="1"/>
    <col min="4" max="16384" width="11" style="16"/>
  </cols>
  <sheetData>
    <row r="1" spans="1:5" ht="16.5" thickBot="1">
      <c r="B1" s="17"/>
      <c r="C1" s="17"/>
      <c r="D1" s="17"/>
      <c r="E1" s="17"/>
    </row>
    <row r="2" spans="1:5" ht="16.5" thickBot="1">
      <c r="B2" s="25" t="s">
        <v>10</v>
      </c>
      <c r="C2" s="25" t="s">
        <v>7</v>
      </c>
      <c r="D2" s="25" t="s">
        <v>13</v>
      </c>
      <c r="E2" s="25" t="s">
        <v>8</v>
      </c>
    </row>
    <row r="3" spans="1:5">
      <c r="A3" s="18"/>
      <c r="B3" s="43" t="s">
        <v>16</v>
      </c>
      <c r="C3" s="44">
        <v>3</v>
      </c>
      <c r="D3" s="44">
        <v>9</v>
      </c>
      <c r="E3" s="43">
        <v>12</v>
      </c>
    </row>
    <row r="4" spans="1:5">
      <c r="A4" s="19"/>
      <c r="B4" s="45" t="s">
        <v>12</v>
      </c>
      <c r="C4" s="46">
        <v>2</v>
      </c>
      <c r="D4" s="46">
        <v>8</v>
      </c>
      <c r="E4" s="45">
        <v>10</v>
      </c>
    </row>
    <row r="5" spans="1:5">
      <c r="B5" s="45" t="s">
        <v>17</v>
      </c>
      <c r="C5" s="46">
        <v>2</v>
      </c>
      <c r="D5" s="46">
        <v>9</v>
      </c>
      <c r="E5" s="45">
        <v>11</v>
      </c>
    </row>
    <row r="6" spans="1:5">
      <c r="B6" s="45" t="s">
        <v>11</v>
      </c>
      <c r="C6" s="46">
        <v>2</v>
      </c>
      <c r="D6" s="46">
        <v>10</v>
      </c>
      <c r="E6" s="45">
        <v>12</v>
      </c>
    </row>
    <row r="7" spans="1:5">
      <c r="B7" s="45" t="s">
        <v>18</v>
      </c>
      <c r="C7" s="46">
        <v>2</v>
      </c>
      <c r="D7" s="46">
        <v>6</v>
      </c>
      <c r="E7" s="45">
        <v>8</v>
      </c>
    </row>
    <row r="8" spans="1:5">
      <c r="B8" s="18" t="s">
        <v>45</v>
      </c>
      <c r="C8" s="18">
        <v>0</v>
      </c>
      <c r="D8" s="18">
        <v>4</v>
      </c>
      <c r="E8" s="18">
        <v>4</v>
      </c>
    </row>
    <row r="9" spans="1:5">
      <c r="B9" s="16" t="s">
        <v>47</v>
      </c>
      <c r="C9" s="16">
        <v>0</v>
      </c>
      <c r="D9" s="16">
        <v>5</v>
      </c>
      <c r="E9" s="16">
        <v>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F20"/>
  <sheetViews>
    <sheetView workbookViewId="0">
      <selection activeCell="F12" sqref="F12"/>
    </sheetView>
  </sheetViews>
  <sheetFormatPr defaultColWidth="11" defaultRowHeight="15.75"/>
  <cols>
    <col min="1" max="1" width="20.875" style="16" customWidth="1"/>
    <col min="2" max="2" width="11" style="24"/>
    <col min="3" max="3" width="11" style="18"/>
    <col min="4" max="4" width="13" style="18" bestFit="1" customWidth="1"/>
    <col min="5" max="5" width="13.625" style="18" customWidth="1"/>
    <col min="6" max="6" width="10.625" style="18" bestFit="1" customWidth="1"/>
    <col min="7" max="16384" width="11" style="23"/>
  </cols>
  <sheetData>
    <row r="1" spans="1:6" ht="16.5" thickBot="1">
      <c r="B1" s="18"/>
    </row>
    <row r="2" spans="1:6" ht="16.5" thickBot="1">
      <c r="B2" s="25" t="s">
        <v>40</v>
      </c>
      <c r="C2" s="25" t="s">
        <v>0</v>
      </c>
      <c r="D2" s="25" t="s">
        <v>39</v>
      </c>
      <c r="E2" s="25" t="s">
        <v>41</v>
      </c>
      <c r="F2" s="25" t="s">
        <v>10</v>
      </c>
    </row>
    <row r="3" spans="1:6">
      <c r="A3" s="18"/>
      <c r="B3" s="26">
        <v>1011</v>
      </c>
      <c r="C3" s="27" t="s">
        <v>1</v>
      </c>
      <c r="D3" s="27"/>
      <c r="E3" s="27"/>
      <c r="F3" s="27"/>
    </row>
    <row r="4" spans="1:6">
      <c r="B4" s="28">
        <v>1055</v>
      </c>
      <c r="C4" s="29" t="s">
        <v>1</v>
      </c>
      <c r="D4" s="29" t="s">
        <v>4</v>
      </c>
      <c r="E4" s="29" t="s">
        <v>5</v>
      </c>
      <c r="F4" s="29" t="s">
        <v>11</v>
      </c>
    </row>
    <row r="5" spans="1:6">
      <c r="B5" s="28">
        <v>1111</v>
      </c>
      <c r="C5" s="29" t="s">
        <v>1</v>
      </c>
      <c r="D5" s="30" t="s">
        <v>5</v>
      </c>
      <c r="E5" s="30" t="s">
        <v>5</v>
      </c>
      <c r="F5" s="29" t="s">
        <v>18</v>
      </c>
    </row>
    <row r="6" spans="1:6">
      <c r="B6" s="31">
        <v>1369</v>
      </c>
      <c r="C6" s="29" t="s">
        <v>1</v>
      </c>
      <c r="D6" s="29" t="s">
        <v>15</v>
      </c>
      <c r="E6" s="29" t="s">
        <v>4</v>
      </c>
      <c r="F6" s="29" t="s">
        <v>16</v>
      </c>
    </row>
    <row r="7" spans="1:6">
      <c r="B7" s="31">
        <v>1620</v>
      </c>
      <c r="C7" s="29" t="s">
        <v>1</v>
      </c>
      <c r="D7" s="29" t="s">
        <v>15</v>
      </c>
      <c r="E7" s="29" t="s">
        <v>4</v>
      </c>
      <c r="F7" s="29" t="s">
        <v>11</v>
      </c>
    </row>
    <row r="8" spans="1:6">
      <c r="B8" s="31">
        <v>1720</v>
      </c>
      <c r="C8" s="29" t="s">
        <v>1</v>
      </c>
      <c r="D8" s="29" t="s">
        <v>4</v>
      </c>
      <c r="E8" s="29"/>
      <c r="F8" s="29" t="s">
        <v>18</v>
      </c>
    </row>
    <row r="9" spans="1:6">
      <c r="B9" s="28">
        <v>2002</v>
      </c>
      <c r="C9" s="29" t="s">
        <v>2</v>
      </c>
      <c r="D9" s="30" t="s">
        <v>5</v>
      </c>
      <c r="E9" s="29"/>
      <c r="F9" s="29"/>
    </row>
    <row r="10" spans="1:6">
      <c r="B10" s="32">
        <v>2003</v>
      </c>
      <c r="C10" s="29" t="s">
        <v>2</v>
      </c>
      <c r="D10" s="29"/>
      <c r="E10" s="29"/>
      <c r="F10" s="29"/>
    </row>
    <row r="11" spans="1:6">
      <c r="B11" s="32">
        <v>2004</v>
      </c>
      <c r="C11" s="33" t="s">
        <v>2</v>
      </c>
      <c r="D11" s="29"/>
      <c r="E11" s="29"/>
      <c r="F11" s="29"/>
    </row>
    <row r="12" spans="1:6">
      <c r="B12" s="31">
        <v>2360</v>
      </c>
      <c r="C12" s="29" t="s">
        <v>2</v>
      </c>
      <c r="D12" s="29" t="s">
        <v>15</v>
      </c>
      <c r="E12" s="29"/>
      <c r="F12" s="29" t="s">
        <v>18</v>
      </c>
    </row>
    <row r="13" spans="1:6">
      <c r="B13" s="28">
        <v>2600</v>
      </c>
      <c r="C13" s="29" t="s">
        <v>2</v>
      </c>
      <c r="D13" s="29" t="s">
        <v>4</v>
      </c>
      <c r="E13" s="29"/>
      <c r="F13" s="29" t="s">
        <v>12</v>
      </c>
    </row>
    <row r="14" spans="1:6">
      <c r="B14" s="31">
        <v>2888</v>
      </c>
      <c r="C14" s="29" t="s">
        <v>2</v>
      </c>
      <c r="D14" s="29"/>
      <c r="E14" s="29"/>
      <c r="F14" s="29"/>
    </row>
    <row r="15" spans="1:6">
      <c r="B15" s="31">
        <v>2999</v>
      </c>
      <c r="C15" s="29" t="s">
        <v>2</v>
      </c>
      <c r="D15" s="30" t="s">
        <v>5</v>
      </c>
      <c r="E15" s="29"/>
      <c r="F15" s="29" t="s">
        <v>17</v>
      </c>
    </row>
    <row r="16" spans="1:6">
      <c r="B16" s="32">
        <v>3004</v>
      </c>
      <c r="C16" s="29" t="s">
        <v>3</v>
      </c>
      <c r="D16" s="29" t="s">
        <v>4</v>
      </c>
      <c r="E16" s="30"/>
      <c r="F16" s="34" t="s">
        <v>17</v>
      </c>
    </row>
    <row r="17" spans="2:6">
      <c r="B17" s="28">
        <v>3006</v>
      </c>
      <c r="C17" s="29" t="s">
        <v>3</v>
      </c>
      <c r="D17" s="30"/>
      <c r="E17" s="30"/>
      <c r="F17" s="29"/>
    </row>
    <row r="18" spans="2:6">
      <c r="B18" s="28">
        <v>3008</v>
      </c>
      <c r="C18" s="29" t="s">
        <v>3</v>
      </c>
      <c r="D18" s="30" t="s">
        <v>5</v>
      </c>
      <c r="E18" s="29"/>
      <c r="F18" s="29" t="s">
        <v>12</v>
      </c>
    </row>
    <row r="19" spans="2:6">
      <c r="B19" s="28">
        <v>3009</v>
      </c>
      <c r="C19" s="29" t="s">
        <v>3</v>
      </c>
      <c r="D19" s="29" t="s">
        <v>15</v>
      </c>
      <c r="E19" s="29"/>
      <c r="F19" s="29" t="s">
        <v>16</v>
      </c>
    </row>
    <row r="20" spans="2:6">
      <c r="B20" s="28">
        <v>3330</v>
      </c>
      <c r="C20" s="29" t="s">
        <v>3</v>
      </c>
      <c r="D20" s="29" t="s">
        <v>15</v>
      </c>
      <c r="E20" s="29"/>
      <c r="F20" s="29" t="s">
        <v>16</v>
      </c>
    </row>
  </sheetData>
  <sortState ref="B4:F21">
    <sortCondition ref="B3"/>
  </sortState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E65"/>
  <sheetViews>
    <sheetView topLeftCell="A49" workbookViewId="0">
      <selection activeCell="C74" sqref="C74"/>
    </sheetView>
  </sheetViews>
  <sheetFormatPr defaultColWidth="8" defaultRowHeight="15.75"/>
  <cols>
    <col min="1" max="1" width="20.875" style="16" customWidth="1"/>
    <col min="2" max="2" width="10.625" style="22" bestFit="1" customWidth="1"/>
    <col min="3" max="3" width="11" style="22" customWidth="1"/>
    <col min="4" max="4" width="13" style="22" customWidth="1"/>
    <col min="5" max="5" width="11" style="22" customWidth="1"/>
    <col min="6" max="16384" width="8" style="21"/>
  </cols>
  <sheetData>
    <row r="1" spans="1:5" ht="16.5" thickBot="1">
      <c r="B1" s="20"/>
      <c r="C1" s="20"/>
      <c r="D1" s="20"/>
      <c r="E1" s="20"/>
    </row>
    <row r="2" spans="1:5" ht="16.5" thickBot="1">
      <c r="B2" s="25" t="s">
        <v>10</v>
      </c>
      <c r="C2" s="25" t="s">
        <v>6</v>
      </c>
      <c r="D2" s="25" t="s">
        <v>9</v>
      </c>
      <c r="E2" s="25" t="s">
        <v>14</v>
      </c>
    </row>
    <row r="3" spans="1:5">
      <c r="A3" s="18"/>
      <c r="B3" s="35" t="s">
        <v>16</v>
      </c>
      <c r="C3" s="36" t="s">
        <v>1</v>
      </c>
      <c r="D3" s="36" t="s">
        <v>15</v>
      </c>
      <c r="E3" s="37">
        <v>10</v>
      </c>
    </row>
    <row r="4" spans="1:5">
      <c r="A4" s="19"/>
      <c r="B4" s="38" t="s">
        <v>16</v>
      </c>
      <c r="C4" s="39" t="s">
        <v>1</v>
      </c>
      <c r="D4" s="39" t="s">
        <v>4</v>
      </c>
      <c r="E4" s="40">
        <v>8</v>
      </c>
    </row>
    <row r="5" spans="1:5">
      <c r="B5" s="38" t="s">
        <v>16</v>
      </c>
      <c r="C5" s="39" t="s">
        <v>1</v>
      </c>
      <c r="D5" s="39" t="s">
        <v>5</v>
      </c>
      <c r="E5" s="40">
        <v>7</v>
      </c>
    </row>
    <row r="6" spans="1:5">
      <c r="B6" s="38" t="s">
        <v>16</v>
      </c>
      <c r="C6" s="39" t="s">
        <v>2</v>
      </c>
      <c r="D6" s="39" t="s">
        <v>15</v>
      </c>
      <c r="E6" s="40">
        <v>11</v>
      </c>
    </row>
    <row r="7" spans="1:5">
      <c r="B7" s="38" t="s">
        <v>16</v>
      </c>
      <c r="C7" s="39" t="s">
        <v>2</v>
      </c>
      <c r="D7" s="39" t="s">
        <v>4</v>
      </c>
      <c r="E7" s="40">
        <v>7</v>
      </c>
    </row>
    <row r="8" spans="1:5">
      <c r="B8" s="38" t="s">
        <v>16</v>
      </c>
      <c r="C8" s="39" t="s">
        <v>2</v>
      </c>
      <c r="D8" s="39" t="s">
        <v>5</v>
      </c>
      <c r="E8" s="40">
        <v>6</v>
      </c>
    </row>
    <row r="9" spans="1:5">
      <c r="B9" s="38" t="s">
        <v>16</v>
      </c>
      <c r="C9" s="39" t="s">
        <v>3</v>
      </c>
      <c r="D9" s="39" t="s">
        <v>15</v>
      </c>
      <c r="E9" s="40">
        <v>13</v>
      </c>
    </row>
    <row r="10" spans="1:5">
      <c r="B10" s="38" t="s">
        <v>16</v>
      </c>
      <c r="C10" s="39" t="s">
        <v>3</v>
      </c>
      <c r="D10" s="39" t="s">
        <v>4</v>
      </c>
      <c r="E10" s="40">
        <v>11</v>
      </c>
    </row>
    <row r="11" spans="1:5">
      <c r="B11" s="38" t="s">
        <v>16</v>
      </c>
      <c r="C11" s="39" t="s">
        <v>3</v>
      </c>
      <c r="D11" s="39" t="s">
        <v>5</v>
      </c>
      <c r="E11" s="40">
        <v>10</v>
      </c>
    </row>
    <row r="12" spans="1:5">
      <c r="B12" s="38" t="s">
        <v>12</v>
      </c>
      <c r="C12" s="39" t="s">
        <v>1</v>
      </c>
      <c r="D12" s="39" t="s">
        <v>15</v>
      </c>
      <c r="E12" s="40">
        <v>9</v>
      </c>
    </row>
    <row r="13" spans="1:5">
      <c r="B13" s="38" t="s">
        <v>12</v>
      </c>
      <c r="C13" s="39" t="s">
        <v>1</v>
      </c>
      <c r="D13" s="39" t="s">
        <v>4</v>
      </c>
      <c r="E13" s="40">
        <v>8</v>
      </c>
    </row>
    <row r="14" spans="1:5">
      <c r="B14" s="38" t="s">
        <v>12</v>
      </c>
      <c r="C14" s="39" t="s">
        <v>1</v>
      </c>
      <c r="D14" s="39" t="s">
        <v>5</v>
      </c>
      <c r="E14" s="40">
        <v>8</v>
      </c>
    </row>
    <row r="15" spans="1:5">
      <c r="B15" s="38" t="s">
        <v>12</v>
      </c>
      <c r="C15" s="39" t="s">
        <v>2</v>
      </c>
      <c r="D15" s="39" t="s">
        <v>15</v>
      </c>
      <c r="E15" s="40">
        <v>12</v>
      </c>
    </row>
    <row r="16" spans="1:5">
      <c r="B16" s="38" t="s">
        <v>12</v>
      </c>
      <c r="C16" s="39" t="s">
        <v>2</v>
      </c>
      <c r="D16" s="39" t="s">
        <v>4</v>
      </c>
      <c r="E16" s="40">
        <v>10</v>
      </c>
    </row>
    <row r="17" spans="2:5">
      <c r="B17" s="38" t="s">
        <v>12</v>
      </c>
      <c r="C17" s="39" t="s">
        <v>2</v>
      </c>
      <c r="D17" s="39" t="s">
        <v>5</v>
      </c>
      <c r="E17" s="40">
        <v>8</v>
      </c>
    </row>
    <row r="18" spans="2:5">
      <c r="B18" s="38" t="s">
        <v>12</v>
      </c>
      <c r="C18" s="39" t="s">
        <v>3</v>
      </c>
      <c r="D18" s="39" t="s">
        <v>15</v>
      </c>
      <c r="E18" s="40">
        <v>2</v>
      </c>
    </row>
    <row r="19" spans="2:5">
      <c r="B19" s="38" t="s">
        <v>12</v>
      </c>
      <c r="C19" s="39" t="s">
        <v>3</v>
      </c>
      <c r="D19" s="39" t="s">
        <v>4</v>
      </c>
      <c r="E19" s="40">
        <v>10</v>
      </c>
    </row>
    <row r="20" spans="2:5">
      <c r="B20" s="38" t="s">
        <v>12</v>
      </c>
      <c r="C20" s="39" t="s">
        <v>3</v>
      </c>
      <c r="D20" s="39" t="s">
        <v>5</v>
      </c>
      <c r="E20" s="40">
        <v>6</v>
      </c>
    </row>
    <row r="21" spans="2:5">
      <c r="B21" s="41" t="s">
        <v>17</v>
      </c>
      <c r="C21" s="42" t="s">
        <v>1</v>
      </c>
      <c r="D21" s="42" t="s">
        <v>15</v>
      </c>
      <c r="E21" s="42">
        <v>8</v>
      </c>
    </row>
    <row r="22" spans="2:5">
      <c r="B22" s="41" t="s">
        <v>17</v>
      </c>
      <c r="C22" s="42" t="s">
        <v>1</v>
      </c>
      <c r="D22" s="42" t="s">
        <v>4</v>
      </c>
      <c r="E22" s="42">
        <v>8</v>
      </c>
    </row>
    <row r="23" spans="2:5">
      <c r="B23" s="41" t="s">
        <v>17</v>
      </c>
      <c r="C23" s="42" t="s">
        <v>1</v>
      </c>
      <c r="D23" s="42" t="s">
        <v>5</v>
      </c>
      <c r="E23" s="42">
        <v>6</v>
      </c>
    </row>
    <row r="24" spans="2:5">
      <c r="B24" s="41" t="s">
        <v>17</v>
      </c>
      <c r="C24" s="42" t="s">
        <v>2</v>
      </c>
      <c r="D24" s="42" t="s">
        <v>15</v>
      </c>
      <c r="E24" s="42">
        <v>8</v>
      </c>
    </row>
    <row r="25" spans="2:5">
      <c r="B25" s="41" t="s">
        <v>17</v>
      </c>
      <c r="C25" s="42" t="s">
        <v>2</v>
      </c>
      <c r="D25" s="42" t="s">
        <v>4</v>
      </c>
      <c r="E25" s="42">
        <v>9</v>
      </c>
    </row>
    <row r="26" spans="2:5">
      <c r="B26" s="41" t="s">
        <v>17</v>
      </c>
      <c r="C26" s="42" t="s">
        <v>2</v>
      </c>
      <c r="D26" s="42" t="s">
        <v>5</v>
      </c>
      <c r="E26" s="42">
        <v>1</v>
      </c>
    </row>
    <row r="27" spans="2:5">
      <c r="B27" s="41" t="s">
        <v>17</v>
      </c>
      <c r="C27" s="42" t="s">
        <v>3</v>
      </c>
      <c r="D27" s="42" t="s">
        <v>15</v>
      </c>
      <c r="E27" s="42">
        <v>11</v>
      </c>
    </row>
    <row r="28" spans="2:5">
      <c r="B28" s="41" t="s">
        <v>17</v>
      </c>
      <c r="C28" s="42" t="s">
        <v>3</v>
      </c>
      <c r="D28" s="42" t="s">
        <v>4</v>
      </c>
      <c r="E28" s="42">
        <v>8</v>
      </c>
    </row>
    <row r="29" spans="2:5">
      <c r="B29" s="41" t="s">
        <v>17</v>
      </c>
      <c r="C29" s="42" t="s">
        <v>3</v>
      </c>
      <c r="D29" s="42" t="s">
        <v>5</v>
      </c>
      <c r="E29" s="42">
        <v>7</v>
      </c>
    </row>
    <row r="30" spans="2:5">
      <c r="B30" s="41" t="s">
        <v>11</v>
      </c>
      <c r="C30" s="42" t="s">
        <v>1</v>
      </c>
      <c r="D30" s="42" t="s">
        <v>15</v>
      </c>
      <c r="E30" s="42">
        <v>7</v>
      </c>
    </row>
    <row r="31" spans="2:5">
      <c r="B31" s="41" t="s">
        <v>11</v>
      </c>
      <c r="C31" s="42" t="s">
        <v>1</v>
      </c>
      <c r="D31" s="42" t="s">
        <v>4</v>
      </c>
      <c r="E31" s="42">
        <v>7</v>
      </c>
    </row>
    <row r="32" spans="2:5">
      <c r="B32" s="41" t="s">
        <v>11</v>
      </c>
      <c r="C32" s="42" t="s">
        <v>1</v>
      </c>
      <c r="D32" s="42" t="s">
        <v>5</v>
      </c>
      <c r="E32" s="42">
        <v>6</v>
      </c>
    </row>
    <row r="33" spans="2:5">
      <c r="B33" s="41" t="s">
        <v>11</v>
      </c>
      <c r="C33" s="42" t="s">
        <v>2</v>
      </c>
      <c r="D33" s="42" t="s">
        <v>15</v>
      </c>
      <c r="E33" s="42">
        <v>10</v>
      </c>
    </row>
    <row r="34" spans="2:5">
      <c r="B34" s="41" t="s">
        <v>11</v>
      </c>
      <c r="C34" s="42" t="s">
        <v>2</v>
      </c>
      <c r="D34" s="42" t="s">
        <v>4</v>
      </c>
      <c r="E34" s="42">
        <v>5</v>
      </c>
    </row>
    <row r="35" spans="2:5">
      <c r="B35" s="41" t="s">
        <v>11</v>
      </c>
      <c r="C35" s="42" t="s">
        <v>2</v>
      </c>
      <c r="D35" s="42" t="s">
        <v>5</v>
      </c>
      <c r="E35" s="42">
        <v>10</v>
      </c>
    </row>
    <row r="36" spans="2:5">
      <c r="B36" s="41" t="s">
        <v>11</v>
      </c>
      <c r="C36" s="42" t="s">
        <v>3</v>
      </c>
      <c r="D36" s="42" t="s">
        <v>15</v>
      </c>
      <c r="E36" s="42">
        <v>10</v>
      </c>
    </row>
    <row r="37" spans="2:5">
      <c r="B37" s="41" t="s">
        <v>11</v>
      </c>
      <c r="C37" s="42" t="s">
        <v>3</v>
      </c>
      <c r="D37" s="42" t="s">
        <v>4</v>
      </c>
      <c r="E37" s="42">
        <v>7</v>
      </c>
    </row>
    <row r="38" spans="2:5">
      <c r="B38" s="41" t="s">
        <v>11</v>
      </c>
      <c r="C38" s="42" t="s">
        <v>3</v>
      </c>
      <c r="D38" s="42" t="s">
        <v>5</v>
      </c>
      <c r="E38" s="42">
        <v>8</v>
      </c>
    </row>
    <row r="39" spans="2:5">
      <c r="B39" s="41" t="s">
        <v>18</v>
      </c>
      <c r="C39" s="42" t="s">
        <v>1</v>
      </c>
      <c r="D39" s="42" t="s">
        <v>15</v>
      </c>
      <c r="E39" s="42">
        <v>7</v>
      </c>
    </row>
    <row r="40" spans="2:5">
      <c r="B40" s="41" t="s">
        <v>18</v>
      </c>
      <c r="C40" s="42" t="s">
        <v>1</v>
      </c>
      <c r="D40" s="42" t="s">
        <v>4</v>
      </c>
      <c r="E40" s="42">
        <v>6</v>
      </c>
    </row>
    <row r="41" spans="2:5">
      <c r="B41" s="41" t="s">
        <v>18</v>
      </c>
      <c r="C41" s="42" t="s">
        <v>1</v>
      </c>
      <c r="D41" s="42" t="s">
        <v>5</v>
      </c>
      <c r="E41" s="42">
        <v>5</v>
      </c>
    </row>
    <row r="42" spans="2:5">
      <c r="B42" s="41" t="s">
        <v>18</v>
      </c>
      <c r="C42" s="42" t="s">
        <v>2</v>
      </c>
      <c r="D42" s="42" t="s">
        <v>15</v>
      </c>
      <c r="E42" s="42">
        <v>9</v>
      </c>
    </row>
    <row r="43" spans="2:5">
      <c r="B43" s="41" t="s">
        <v>18</v>
      </c>
      <c r="C43" s="42" t="s">
        <v>2</v>
      </c>
      <c r="D43" s="42" t="s">
        <v>4</v>
      </c>
      <c r="E43" s="42">
        <v>5</v>
      </c>
    </row>
    <row r="44" spans="2:5">
      <c r="B44" s="41" t="s">
        <v>18</v>
      </c>
      <c r="C44" s="42" t="s">
        <v>2</v>
      </c>
      <c r="D44" s="42" t="s">
        <v>5</v>
      </c>
      <c r="E44" s="42">
        <v>6</v>
      </c>
    </row>
    <row r="45" spans="2:5">
      <c r="B45" s="41" t="s">
        <v>18</v>
      </c>
      <c r="C45" s="42" t="s">
        <v>3</v>
      </c>
      <c r="D45" s="42" t="s">
        <v>15</v>
      </c>
      <c r="E45" s="42">
        <v>12</v>
      </c>
    </row>
    <row r="46" spans="2:5">
      <c r="B46" s="41" t="s">
        <v>18</v>
      </c>
      <c r="C46" s="42" t="s">
        <v>3</v>
      </c>
      <c r="D46" s="42" t="s">
        <v>4</v>
      </c>
      <c r="E46" s="42">
        <v>5</v>
      </c>
    </row>
    <row r="47" spans="2:5">
      <c r="B47" s="41" t="s">
        <v>18</v>
      </c>
      <c r="C47" s="42" t="s">
        <v>3</v>
      </c>
      <c r="D47" s="42" t="s">
        <v>5</v>
      </c>
      <c r="E47" s="42">
        <v>7</v>
      </c>
    </row>
    <row r="48" spans="2:5">
      <c r="B48" s="22" t="s">
        <v>45</v>
      </c>
      <c r="C48" s="22" t="s">
        <v>1</v>
      </c>
      <c r="D48" s="22" t="s">
        <v>15</v>
      </c>
      <c r="E48" s="22">
        <v>5</v>
      </c>
    </row>
    <row r="49" spans="2:5">
      <c r="B49" s="22" t="s">
        <v>45</v>
      </c>
      <c r="C49" s="22" t="s">
        <v>1</v>
      </c>
      <c r="D49" s="22" t="s">
        <v>4</v>
      </c>
      <c r="E49" s="22">
        <v>6</v>
      </c>
    </row>
    <row r="50" spans="2:5">
      <c r="B50" s="22" t="s">
        <v>45</v>
      </c>
      <c r="C50" s="22" t="s">
        <v>1</v>
      </c>
      <c r="D50" s="22" t="s">
        <v>46</v>
      </c>
      <c r="E50" s="22">
        <v>7</v>
      </c>
    </row>
    <row r="51" spans="2:5">
      <c r="B51" s="22" t="s">
        <v>45</v>
      </c>
      <c r="C51" s="22" t="s">
        <v>2</v>
      </c>
      <c r="D51" s="22" t="s">
        <v>15</v>
      </c>
      <c r="E51" s="22">
        <v>7</v>
      </c>
    </row>
    <row r="52" spans="2:5">
      <c r="B52" s="22" t="s">
        <v>45</v>
      </c>
      <c r="C52" s="22" t="s">
        <v>2</v>
      </c>
      <c r="D52" s="22" t="s">
        <v>4</v>
      </c>
      <c r="E52" s="22">
        <v>6</v>
      </c>
    </row>
    <row r="53" spans="2:5">
      <c r="B53" s="22" t="s">
        <v>45</v>
      </c>
      <c r="C53" s="22" t="s">
        <v>2</v>
      </c>
      <c r="D53" s="22" t="s">
        <v>46</v>
      </c>
      <c r="E53" s="22">
        <v>5</v>
      </c>
    </row>
    <row r="54" spans="2:5">
      <c r="B54" s="22" t="s">
        <v>45</v>
      </c>
      <c r="C54" s="22" t="s">
        <v>3</v>
      </c>
      <c r="D54" s="22" t="s">
        <v>15</v>
      </c>
      <c r="E54" s="22">
        <v>6</v>
      </c>
    </row>
    <row r="55" spans="2:5">
      <c r="B55" s="22" t="s">
        <v>45</v>
      </c>
      <c r="C55" s="22" t="s">
        <v>3</v>
      </c>
      <c r="D55" s="22" t="s">
        <v>4</v>
      </c>
      <c r="E55" s="22">
        <v>6</v>
      </c>
    </row>
    <row r="56" spans="2:5">
      <c r="B56" s="22" t="s">
        <v>45</v>
      </c>
      <c r="C56" s="22" t="s">
        <v>3</v>
      </c>
      <c r="D56" s="22" t="s">
        <v>46</v>
      </c>
      <c r="E56" s="22">
        <v>6</v>
      </c>
    </row>
    <row r="57" spans="2:5">
      <c r="B57" s="22" t="s">
        <v>47</v>
      </c>
      <c r="C57" s="22" t="s">
        <v>1</v>
      </c>
      <c r="D57" s="22" t="s">
        <v>15</v>
      </c>
      <c r="E57" s="22">
        <v>9</v>
      </c>
    </row>
    <row r="58" spans="2:5">
      <c r="B58" s="22" t="s">
        <v>47</v>
      </c>
      <c r="C58" s="22" t="s">
        <v>1</v>
      </c>
      <c r="D58" s="22" t="s">
        <v>4</v>
      </c>
      <c r="E58" s="22">
        <v>8</v>
      </c>
    </row>
    <row r="59" spans="2:5">
      <c r="B59" s="22" t="s">
        <v>47</v>
      </c>
      <c r="C59" s="22" t="s">
        <v>1</v>
      </c>
      <c r="D59" s="22" t="s">
        <v>46</v>
      </c>
      <c r="E59" s="22">
        <v>6</v>
      </c>
    </row>
    <row r="60" spans="2:5">
      <c r="B60" s="22" t="s">
        <v>47</v>
      </c>
      <c r="C60" s="22" t="s">
        <v>2</v>
      </c>
      <c r="D60" s="22" t="s">
        <v>15</v>
      </c>
      <c r="E60" s="22">
        <v>6</v>
      </c>
    </row>
    <row r="61" spans="2:5">
      <c r="B61" s="22" t="s">
        <v>47</v>
      </c>
      <c r="C61" s="22" t="s">
        <v>2</v>
      </c>
      <c r="D61" s="22" t="s">
        <v>4</v>
      </c>
      <c r="E61" s="22">
        <v>7</v>
      </c>
    </row>
    <row r="62" spans="2:5">
      <c r="B62" s="22" t="s">
        <v>47</v>
      </c>
      <c r="C62" s="22" t="s">
        <v>2</v>
      </c>
      <c r="D62" s="22" t="s">
        <v>46</v>
      </c>
      <c r="E62" s="22">
        <v>8</v>
      </c>
    </row>
    <row r="63" spans="2:5">
      <c r="B63" s="22" t="s">
        <v>47</v>
      </c>
      <c r="C63" s="22" t="s">
        <v>3</v>
      </c>
      <c r="D63" s="22" t="s">
        <v>15</v>
      </c>
      <c r="E63" s="22">
        <v>8</v>
      </c>
    </row>
    <row r="64" spans="2:5">
      <c r="B64" s="22" t="s">
        <v>47</v>
      </c>
      <c r="C64" s="22" t="s">
        <v>3</v>
      </c>
      <c r="D64" s="22" t="s">
        <v>4</v>
      </c>
      <c r="E64" s="22">
        <v>5</v>
      </c>
    </row>
    <row r="65" spans="2:5">
      <c r="B65" s="22" t="s">
        <v>47</v>
      </c>
      <c r="C65" s="22" t="s">
        <v>3</v>
      </c>
      <c r="D65" s="22" t="s">
        <v>46</v>
      </c>
      <c r="E65" s="22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63"/>
  <sheetViews>
    <sheetView topLeftCell="D1" workbookViewId="0">
      <selection activeCell="S3" sqref="S3"/>
    </sheetView>
  </sheetViews>
  <sheetFormatPr defaultColWidth="9" defaultRowHeight="15.75"/>
  <cols>
    <col min="18" max="18" width="16.125" bestFit="1" customWidth="1"/>
  </cols>
  <sheetData>
    <row r="2" spans="2:19">
      <c r="B2" t="s">
        <v>19</v>
      </c>
      <c r="I2" t="s">
        <v>22</v>
      </c>
      <c r="M2" t="s">
        <v>23</v>
      </c>
      <c r="R2" t="s">
        <v>26</v>
      </c>
    </row>
    <row r="3" spans="2:19">
      <c r="B3" t="s">
        <v>20</v>
      </c>
      <c r="C3" t="s">
        <v>37</v>
      </c>
      <c r="D3" t="s">
        <v>36</v>
      </c>
      <c r="E3" t="s">
        <v>38</v>
      </c>
      <c r="F3" t="s">
        <v>10</v>
      </c>
      <c r="G3" t="s">
        <v>21</v>
      </c>
      <c r="I3">
        <v>1011</v>
      </c>
      <c r="J3" t="s">
        <v>1</v>
      </c>
      <c r="K3">
        <v>0</v>
      </c>
      <c r="M3">
        <v>1011</v>
      </c>
      <c r="N3">
        <f>SUM(Block1)</f>
        <v>1</v>
      </c>
      <c r="O3" t="s">
        <v>24</v>
      </c>
      <c r="P3">
        <v>1</v>
      </c>
      <c r="R3" t="s">
        <v>27</v>
      </c>
      <c r="S3">
        <f>SUMPRODUCT(pRates, parkedSpots)</f>
        <v>55</v>
      </c>
    </row>
    <row r="4" spans="2:19">
      <c r="B4">
        <v>1011</v>
      </c>
      <c r="C4" t="s">
        <v>1</v>
      </c>
      <c r="D4">
        <v>8</v>
      </c>
      <c r="E4" t="s">
        <v>16</v>
      </c>
      <c r="F4" t="s">
        <v>16</v>
      </c>
      <c r="G4">
        <v>12</v>
      </c>
      <c r="I4">
        <v>1011</v>
      </c>
      <c r="J4" t="s">
        <v>1</v>
      </c>
      <c r="K4">
        <v>0</v>
      </c>
      <c r="M4">
        <v>2001</v>
      </c>
      <c r="N4">
        <f>SUM(Block2)</f>
        <v>1</v>
      </c>
      <c r="O4" t="s">
        <v>24</v>
      </c>
      <c r="P4">
        <v>1</v>
      </c>
    </row>
    <row r="5" spans="2:19">
      <c r="B5">
        <v>1011</v>
      </c>
      <c r="C5" t="s">
        <v>1</v>
      </c>
      <c r="D5">
        <v>8</v>
      </c>
      <c r="E5" t="s">
        <v>12</v>
      </c>
      <c r="F5" t="s">
        <v>12</v>
      </c>
      <c r="G5">
        <v>10</v>
      </c>
      <c r="I5">
        <v>1011</v>
      </c>
      <c r="J5" t="s">
        <v>1</v>
      </c>
      <c r="K5">
        <v>1</v>
      </c>
      <c r="M5">
        <v>2002</v>
      </c>
      <c r="N5">
        <f>SUM(Block3)</f>
        <v>1</v>
      </c>
      <c r="O5" t="s">
        <v>24</v>
      </c>
      <c r="P5">
        <v>1</v>
      </c>
    </row>
    <row r="6" spans="2:19">
      <c r="B6">
        <v>1011</v>
      </c>
      <c r="C6" t="s">
        <v>1</v>
      </c>
      <c r="E6" t="s">
        <v>17</v>
      </c>
      <c r="F6" t="s">
        <v>17</v>
      </c>
      <c r="G6">
        <v>10</v>
      </c>
      <c r="I6">
        <v>1011</v>
      </c>
      <c r="J6" t="s">
        <v>1</v>
      </c>
      <c r="K6">
        <v>0</v>
      </c>
      <c r="M6">
        <v>2003</v>
      </c>
      <c r="N6">
        <f>SUM(Block4)</f>
        <v>1</v>
      </c>
      <c r="O6" t="s">
        <v>24</v>
      </c>
      <c r="P6">
        <v>1</v>
      </c>
    </row>
    <row r="7" spans="2:19">
      <c r="B7">
        <v>1011</v>
      </c>
      <c r="C7" t="s">
        <v>1</v>
      </c>
      <c r="D7">
        <v>7</v>
      </c>
      <c r="E7" t="s">
        <v>11</v>
      </c>
      <c r="F7" t="s">
        <v>11</v>
      </c>
      <c r="G7">
        <v>9</v>
      </c>
      <c r="I7">
        <v>1011</v>
      </c>
      <c r="J7" t="s">
        <v>1</v>
      </c>
      <c r="K7">
        <v>0</v>
      </c>
      <c r="M7">
        <v>2004</v>
      </c>
      <c r="N7">
        <f>SUM(Block5)</f>
        <v>1</v>
      </c>
      <c r="O7" t="s">
        <v>24</v>
      </c>
      <c r="P7">
        <v>1</v>
      </c>
    </row>
    <row r="8" spans="2:19">
      <c r="B8">
        <v>1011</v>
      </c>
      <c r="C8" t="s">
        <v>1</v>
      </c>
      <c r="D8">
        <v>6</v>
      </c>
      <c r="E8" t="s">
        <v>18</v>
      </c>
      <c r="F8" t="s">
        <v>18</v>
      </c>
      <c r="G8">
        <v>7</v>
      </c>
      <c r="I8">
        <v>2001</v>
      </c>
      <c r="J8" t="s">
        <v>2</v>
      </c>
      <c r="K8">
        <v>0</v>
      </c>
      <c r="M8">
        <v>2888</v>
      </c>
      <c r="N8">
        <f>SUM(Block6)</f>
        <v>1</v>
      </c>
      <c r="O8" t="s">
        <v>24</v>
      </c>
      <c r="P8">
        <v>1</v>
      </c>
    </row>
    <row r="9" spans="2:19">
      <c r="B9">
        <v>2001</v>
      </c>
      <c r="C9" t="s">
        <v>2</v>
      </c>
      <c r="D9">
        <v>7</v>
      </c>
      <c r="E9" t="s">
        <v>16</v>
      </c>
      <c r="I9">
        <v>2001</v>
      </c>
      <c r="J9" t="s">
        <v>2</v>
      </c>
      <c r="K9">
        <v>0</v>
      </c>
      <c r="M9">
        <v>2999</v>
      </c>
      <c r="N9">
        <f>SUM(Block7)</f>
        <v>1</v>
      </c>
      <c r="O9" t="s">
        <v>24</v>
      </c>
      <c r="P9">
        <v>1</v>
      </c>
    </row>
    <row r="10" spans="2:19">
      <c r="B10">
        <v>2001</v>
      </c>
      <c r="C10" t="s">
        <v>2</v>
      </c>
      <c r="D10">
        <v>10</v>
      </c>
      <c r="E10" t="s">
        <v>12</v>
      </c>
      <c r="I10">
        <v>2001</v>
      </c>
      <c r="J10" t="s">
        <v>2</v>
      </c>
      <c r="K10">
        <v>0</v>
      </c>
      <c r="M10">
        <v>3004</v>
      </c>
      <c r="N10">
        <f>SUM(Block8)</f>
        <v>1</v>
      </c>
      <c r="O10" t="s">
        <v>24</v>
      </c>
      <c r="P10">
        <v>1</v>
      </c>
    </row>
    <row r="11" spans="2:19">
      <c r="B11">
        <v>2001</v>
      </c>
      <c r="C11" t="s">
        <v>2</v>
      </c>
      <c r="D11">
        <v>9</v>
      </c>
      <c r="E11" t="s">
        <v>17</v>
      </c>
      <c r="I11">
        <v>2001</v>
      </c>
      <c r="J11" t="s">
        <v>2</v>
      </c>
      <c r="K11">
        <v>1</v>
      </c>
      <c r="M11">
        <v>3006</v>
      </c>
      <c r="N11">
        <f>SUM(Block9)</f>
        <v>1</v>
      </c>
      <c r="O11" t="s">
        <v>24</v>
      </c>
      <c r="P11">
        <v>1</v>
      </c>
    </row>
    <row r="12" spans="2:19">
      <c r="B12">
        <v>2001</v>
      </c>
      <c r="C12" t="s">
        <v>2</v>
      </c>
      <c r="D12">
        <v>5</v>
      </c>
      <c r="E12" t="s">
        <v>11</v>
      </c>
      <c r="I12">
        <v>2001</v>
      </c>
      <c r="J12" t="s">
        <v>2</v>
      </c>
      <c r="K12">
        <v>0</v>
      </c>
      <c r="M12">
        <v>3008</v>
      </c>
      <c r="N12">
        <f>SUM(Block10)</f>
        <v>1</v>
      </c>
      <c r="O12" t="s">
        <v>24</v>
      </c>
      <c r="P12">
        <v>1</v>
      </c>
    </row>
    <row r="13" spans="2:19">
      <c r="B13">
        <v>2001</v>
      </c>
      <c r="C13" t="s">
        <v>2</v>
      </c>
      <c r="D13">
        <v>5</v>
      </c>
      <c r="E13" t="s">
        <v>18</v>
      </c>
      <c r="I13">
        <v>2002</v>
      </c>
      <c r="J13" t="s">
        <v>2</v>
      </c>
      <c r="K13">
        <v>0</v>
      </c>
      <c r="M13">
        <v>3009</v>
      </c>
      <c r="N13">
        <f>SUM(Block11)</f>
        <v>1</v>
      </c>
      <c r="O13" t="s">
        <v>24</v>
      </c>
      <c r="P13">
        <v>1</v>
      </c>
    </row>
    <row r="14" spans="2:19">
      <c r="B14">
        <v>2002</v>
      </c>
      <c r="C14" t="s">
        <v>2</v>
      </c>
      <c r="D14">
        <v>7</v>
      </c>
      <c r="E14" t="s">
        <v>16</v>
      </c>
      <c r="I14">
        <v>2002</v>
      </c>
      <c r="J14" t="s">
        <v>2</v>
      </c>
      <c r="K14">
        <v>0</v>
      </c>
      <c r="M14">
        <v>3330</v>
      </c>
      <c r="N14">
        <f>SUM(Block12)</f>
        <v>1</v>
      </c>
      <c r="O14" t="s">
        <v>24</v>
      </c>
      <c r="P14">
        <v>1</v>
      </c>
    </row>
    <row r="15" spans="2:19">
      <c r="B15">
        <v>2002</v>
      </c>
      <c r="C15" t="s">
        <v>2</v>
      </c>
      <c r="D15">
        <v>10</v>
      </c>
      <c r="E15" t="s">
        <v>12</v>
      </c>
      <c r="I15">
        <v>2002</v>
      </c>
      <c r="J15" t="s">
        <v>2</v>
      </c>
      <c r="K15">
        <v>0</v>
      </c>
      <c r="M15" t="s">
        <v>1</v>
      </c>
      <c r="N15">
        <f>SUM(K3, K8, K13, K18, K23, K28, K33, K38, K43, K48, K53, K58)</f>
        <v>0</v>
      </c>
      <c r="O15" t="s">
        <v>25</v>
      </c>
      <c r="P15">
        <v>12</v>
      </c>
    </row>
    <row r="16" spans="2:19">
      <c r="B16">
        <v>2002</v>
      </c>
      <c r="C16" t="s">
        <v>2</v>
      </c>
      <c r="D16">
        <v>9</v>
      </c>
      <c r="E16" t="s">
        <v>17</v>
      </c>
      <c r="I16">
        <v>2002</v>
      </c>
      <c r="J16" t="s">
        <v>2</v>
      </c>
      <c r="K16">
        <v>1</v>
      </c>
      <c r="M16" t="s">
        <v>1</v>
      </c>
      <c r="N16">
        <f>SUM(K4, K9, K14, K19, K24, K29, K34, K39, K44, K49, K54, K59)</f>
        <v>0</v>
      </c>
      <c r="O16" t="s">
        <v>25</v>
      </c>
      <c r="P16">
        <v>10</v>
      </c>
    </row>
    <row r="17" spans="2:16">
      <c r="B17">
        <v>2002</v>
      </c>
      <c r="C17" t="s">
        <v>2</v>
      </c>
      <c r="D17">
        <v>5</v>
      </c>
      <c r="E17" t="s">
        <v>11</v>
      </c>
      <c r="I17">
        <v>2002</v>
      </c>
      <c r="J17" t="s">
        <v>2</v>
      </c>
      <c r="K17">
        <v>0</v>
      </c>
      <c r="M17" t="s">
        <v>1</v>
      </c>
      <c r="N17">
        <f>SUM(K5, K10, K15, K20, K25, K30, K35, K40, K45, K50, K55, K60)</f>
        <v>1</v>
      </c>
      <c r="O17" t="s">
        <v>25</v>
      </c>
      <c r="P17">
        <v>10</v>
      </c>
    </row>
    <row r="18" spans="2:16">
      <c r="B18">
        <v>2002</v>
      </c>
      <c r="C18" t="s">
        <v>2</v>
      </c>
      <c r="D18">
        <v>5</v>
      </c>
      <c r="E18" t="s">
        <v>18</v>
      </c>
      <c r="I18">
        <v>2003</v>
      </c>
      <c r="J18" t="s">
        <v>2</v>
      </c>
      <c r="K18">
        <v>0</v>
      </c>
      <c r="M18" t="s">
        <v>1</v>
      </c>
      <c r="N18">
        <f>SUM(K6, K11, K16, K21, K26, K31, K36, K41, K46, K51, K56, K61)</f>
        <v>6</v>
      </c>
      <c r="O18" t="s">
        <v>25</v>
      </c>
      <c r="P18">
        <v>9</v>
      </c>
    </row>
    <row r="19" spans="2:16">
      <c r="B19">
        <v>2003</v>
      </c>
      <c r="C19" t="s">
        <v>2</v>
      </c>
      <c r="D19">
        <v>7</v>
      </c>
      <c r="E19" t="s">
        <v>16</v>
      </c>
      <c r="I19">
        <v>2003</v>
      </c>
      <c r="J19" t="s">
        <v>2</v>
      </c>
      <c r="K19">
        <v>0</v>
      </c>
      <c r="M19" t="s">
        <v>1</v>
      </c>
      <c r="N19">
        <f>SUM(K7, K12, K17, K22, K27, K32, K37, K42, K47, K52, K57, K62)</f>
        <v>5</v>
      </c>
      <c r="O19" t="s">
        <v>25</v>
      </c>
      <c r="P19">
        <v>7</v>
      </c>
    </row>
    <row r="20" spans="2:16">
      <c r="B20">
        <v>2003</v>
      </c>
      <c r="C20" t="s">
        <v>2</v>
      </c>
      <c r="D20">
        <v>10</v>
      </c>
      <c r="E20" t="s">
        <v>12</v>
      </c>
      <c r="I20">
        <v>2003</v>
      </c>
      <c r="J20" t="s">
        <v>2</v>
      </c>
      <c r="K20">
        <v>0</v>
      </c>
    </row>
    <row r="21" spans="2:16">
      <c r="B21">
        <v>2003</v>
      </c>
      <c r="C21" t="s">
        <v>2</v>
      </c>
      <c r="D21">
        <v>9</v>
      </c>
      <c r="E21" t="s">
        <v>17</v>
      </c>
      <c r="I21">
        <v>2003</v>
      </c>
      <c r="J21" t="s">
        <v>2</v>
      </c>
      <c r="K21">
        <v>1</v>
      </c>
    </row>
    <row r="22" spans="2:16">
      <c r="B22">
        <v>2003</v>
      </c>
      <c r="C22" t="s">
        <v>2</v>
      </c>
      <c r="D22">
        <v>5</v>
      </c>
      <c r="E22" t="s">
        <v>11</v>
      </c>
      <c r="I22">
        <v>2003</v>
      </c>
      <c r="J22" t="s">
        <v>2</v>
      </c>
      <c r="K22">
        <v>0</v>
      </c>
    </row>
    <row r="23" spans="2:16">
      <c r="B23">
        <v>2003</v>
      </c>
      <c r="C23" t="s">
        <v>2</v>
      </c>
      <c r="D23">
        <v>5</v>
      </c>
      <c r="E23" t="s">
        <v>18</v>
      </c>
      <c r="I23">
        <v>2004</v>
      </c>
      <c r="J23" t="s">
        <v>2</v>
      </c>
      <c r="K23">
        <v>0</v>
      </c>
    </row>
    <row r="24" spans="2:16">
      <c r="B24">
        <v>2004</v>
      </c>
      <c r="C24" t="s">
        <v>2</v>
      </c>
      <c r="D24">
        <v>7</v>
      </c>
      <c r="E24" t="s">
        <v>16</v>
      </c>
      <c r="I24">
        <v>2004</v>
      </c>
      <c r="J24" t="s">
        <v>2</v>
      </c>
      <c r="K24">
        <v>0</v>
      </c>
    </row>
    <row r="25" spans="2:16">
      <c r="B25">
        <v>2004</v>
      </c>
      <c r="C25" t="s">
        <v>2</v>
      </c>
      <c r="D25">
        <v>10</v>
      </c>
      <c r="E25" t="s">
        <v>12</v>
      </c>
      <c r="I25">
        <v>2004</v>
      </c>
      <c r="J25" t="s">
        <v>2</v>
      </c>
      <c r="K25">
        <v>0</v>
      </c>
    </row>
    <row r="26" spans="2:16">
      <c r="B26">
        <v>2004</v>
      </c>
      <c r="C26" t="s">
        <v>2</v>
      </c>
      <c r="D26">
        <v>9</v>
      </c>
      <c r="E26" t="s">
        <v>17</v>
      </c>
      <c r="I26">
        <v>2004</v>
      </c>
      <c r="J26" t="s">
        <v>2</v>
      </c>
      <c r="K26">
        <v>1</v>
      </c>
    </row>
    <row r="27" spans="2:16">
      <c r="B27">
        <v>2004</v>
      </c>
      <c r="C27" t="s">
        <v>2</v>
      </c>
      <c r="D27">
        <v>5</v>
      </c>
      <c r="E27" t="s">
        <v>11</v>
      </c>
      <c r="I27">
        <v>2004</v>
      </c>
      <c r="J27" t="s">
        <v>2</v>
      </c>
      <c r="K27">
        <v>0</v>
      </c>
    </row>
    <row r="28" spans="2:16">
      <c r="B28">
        <v>2004</v>
      </c>
      <c r="C28" t="s">
        <v>2</v>
      </c>
      <c r="D28">
        <v>5</v>
      </c>
      <c r="E28" t="s">
        <v>18</v>
      </c>
      <c r="I28">
        <v>2888</v>
      </c>
      <c r="J28" t="s">
        <v>2</v>
      </c>
      <c r="K28">
        <v>0</v>
      </c>
    </row>
    <row r="29" spans="2:16">
      <c r="B29">
        <v>2888</v>
      </c>
      <c r="C29" t="s">
        <v>2</v>
      </c>
      <c r="D29">
        <v>7</v>
      </c>
      <c r="E29" t="s">
        <v>16</v>
      </c>
      <c r="I29">
        <v>2888</v>
      </c>
      <c r="J29" t="s">
        <v>2</v>
      </c>
      <c r="K29">
        <v>0</v>
      </c>
    </row>
    <row r="30" spans="2:16">
      <c r="B30">
        <v>2888</v>
      </c>
      <c r="C30" t="s">
        <v>2</v>
      </c>
      <c r="D30">
        <v>10</v>
      </c>
      <c r="E30" t="s">
        <v>12</v>
      </c>
      <c r="I30">
        <v>2888</v>
      </c>
      <c r="J30" t="s">
        <v>2</v>
      </c>
      <c r="K30">
        <v>0</v>
      </c>
    </row>
    <row r="31" spans="2:16">
      <c r="B31">
        <v>2888</v>
      </c>
      <c r="C31" t="s">
        <v>2</v>
      </c>
      <c r="D31">
        <v>9</v>
      </c>
      <c r="E31" t="s">
        <v>17</v>
      </c>
      <c r="I31">
        <v>2888</v>
      </c>
      <c r="J31" t="s">
        <v>2</v>
      </c>
      <c r="K31">
        <v>1</v>
      </c>
    </row>
    <row r="32" spans="2:16">
      <c r="B32">
        <v>2888</v>
      </c>
      <c r="C32" t="s">
        <v>2</v>
      </c>
      <c r="D32">
        <v>5</v>
      </c>
      <c r="E32" t="s">
        <v>11</v>
      </c>
      <c r="I32">
        <v>2888</v>
      </c>
      <c r="J32" t="s">
        <v>2</v>
      </c>
      <c r="K32">
        <v>0</v>
      </c>
    </row>
    <row r="33" spans="2:11">
      <c r="B33">
        <v>2888</v>
      </c>
      <c r="C33" t="s">
        <v>2</v>
      </c>
      <c r="D33">
        <v>5</v>
      </c>
      <c r="E33" t="s">
        <v>18</v>
      </c>
      <c r="I33">
        <v>2999</v>
      </c>
      <c r="J33" t="s">
        <v>2</v>
      </c>
      <c r="K33">
        <v>0</v>
      </c>
    </row>
    <row r="34" spans="2:11">
      <c r="B34">
        <v>2999</v>
      </c>
      <c r="C34" t="s">
        <v>2</v>
      </c>
      <c r="D34">
        <v>7</v>
      </c>
      <c r="E34" t="s">
        <v>16</v>
      </c>
      <c r="I34">
        <v>2999</v>
      </c>
      <c r="J34" t="s">
        <v>2</v>
      </c>
      <c r="K34">
        <v>0</v>
      </c>
    </row>
    <row r="35" spans="2:11">
      <c r="B35">
        <v>2999</v>
      </c>
      <c r="C35" t="s">
        <v>2</v>
      </c>
      <c r="D35">
        <v>10</v>
      </c>
      <c r="E35" t="s">
        <v>12</v>
      </c>
      <c r="I35">
        <v>2999</v>
      </c>
      <c r="J35" t="s">
        <v>2</v>
      </c>
      <c r="K35">
        <v>0</v>
      </c>
    </row>
    <row r="36" spans="2:11">
      <c r="B36">
        <v>2999</v>
      </c>
      <c r="C36" t="s">
        <v>2</v>
      </c>
      <c r="D36">
        <v>9</v>
      </c>
      <c r="E36" t="s">
        <v>17</v>
      </c>
      <c r="I36">
        <v>2999</v>
      </c>
      <c r="J36" t="s">
        <v>2</v>
      </c>
      <c r="K36">
        <v>1</v>
      </c>
    </row>
    <row r="37" spans="2:11">
      <c r="B37">
        <v>2999</v>
      </c>
      <c r="C37" t="s">
        <v>2</v>
      </c>
      <c r="D37">
        <v>5</v>
      </c>
      <c r="E37" t="s">
        <v>11</v>
      </c>
      <c r="I37">
        <v>2999</v>
      </c>
      <c r="J37" t="s">
        <v>2</v>
      </c>
      <c r="K37">
        <v>0</v>
      </c>
    </row>
    <row r="38" spans="2:11">
      <c r="B38">
        <v>2999</v>
      </c>
      <c r="C38" t="s">
        <v>2</v>
      </c>
      <c r="D38">
        <v>5</v>
      </c>
      <c r="E38" t="s">
        <v>18</v>
      </c>
      <c r="I38">
        <v>3004</v>
      </c>
      <c r="J38" t="s">
        <v>3</v>
      </c>
      <c r="K38">
        <v>0</v>
      </c>
    </row>
    <row r="39" spans="2:11">
      <c r="B39">
        <v>3004</v>
      </c>
      <c r="C39" t="s">
        <v>3</v>
      </c>
      <c r="D39">
        <v>11</v>
      </c>
      <c r="E39" t="s">
        <v>16</v>
      </c>
      <c r="I39">
        <v>3004</v>
      </c>
      <c r="J39" t="s">
        <v>3</v>
      </c>
      <c r="K39">
        <v>0</v>
      </c>
    </row>
    <row r="40" spans="2:11">
      <c r="B40">
        <v>3004</v>
      </c>
      <c r="C40" t="s">
        <v>3</v>
      </c>
      <c r="D40">
        <v>10</v>
      </c>
      <c r="E40" t="s">
        <v>12</v>
      </c>
      <c r="I40">
        <v>3004</v>
      </c>
      <c r="J40" t="s">
        <v>3</v>
      </c>
      <c r="K40">
        <v>0</v>
      </c>
    </row>
    <row r="41" spans="2:11">
      <c r="B41">
        <v>3004</v>
      </c>
      <c r="C41" t="s">
        <v>3</v>
      </c>
      <c r="D41">
        <v>8</v>
      </c>
      <c r="E41" t="s">
        <v>17</v>
      </c>
      <c r="I41">
        <v>3004</v>
      </c>
      <c r="J41" t="s">
        <v>3</v>
      </c>
      <c r="K41">
        <v>0</v>
      </c>
    </row>
    <row r="42" spans="2:11">
      <c r="B42">
        <v>3004</v>
      </c>
      <c r="C42" t="s">
        <v>3</v>
      </c>
      <c r="D42">
        <v>7</v>
      </c>
      <c r="E42" t="s">
        <v>11</v>
      </c>
      <c r="I42">
        <v>3004</v>
      </c>
      <c r="J42" t="s">
        <v>3</v>
      </c>
      <c r="K42">
        <v>1</v>
      </c>
    </row>
    <row r="43" spans="2:11">
      <c r="B43">
        <v>3004</v>
      </c>
      <c r="C43" t="s">
        <v>3</v>
      </c>
      <c r="D43">
        <v>5</v>
      </c>
      <c r="E43" t="s">
        <v>18</v>
      </c>
      <c r="I43">
        <v>3006</v>
      </c>
      <c r="J43" t="s">
        <v>3</v>
      </c>
      <c r="K43">
        <v>0</v>
      </c>
    </row>
    <row r="44" spans="2:11">
      <c r="B44">
        <v>3006</v>
      </c>
      <c r="C44" t="s">
        <v>3</v>
      </c>
      <c r="D44">
        <v>11</v>
      </c>
      <c r="E44" t="s">
        <v>16</v>
      </c>
      <c r="I44">
        <v>3006</v>
      </c>
      <c r="J44" t="s">
        <v>3</v>
      </c>
      <c r="K44">
        <v>0</v>
      </c>
    </row>
    <row r="45" spans="2:11">
      <c r="B45">
        <v>3006</v>
      </c>
      <c r="C45" t="s">
        <v>3</v>
      </c>
      <c r="D45">
        <v>10</v>
      </c>
      <c r="E45" t="s">
        <v>12</v>
      </c>
      <c r="I45">
        <v>3006</v>
      </c>
      <c r="J45" t="s">
        <v>3</v>
      </c>
      <c r="K45">
        <v>0</v>
      </c>
    </row>
    <row r="46" spans="2:11">
      <c r="B46">
        <v>3006</v>
      </c>
      <c r="C46" t="s">
        <v>3</v>
      </c>
      <c r="D46">
        <v>8</v>
      </c>
      <c r="E46" t="s">
        <v>17</v>
      </c>
      <c r="I46">
        <v>3006</v>
      </c>
      <c r="J46" t="s">
        <v>3</v>
      </c>
      <c r="K46">
        <v>0</v>
      </c>
    </row>
    <row r="47" spans="2:11">
      <c r="B47">
        <v>3006</v>
      </c>
      <c r="C47" t="s">
        <v>3</v>
      </c>
      <c r="D47">
        <v>7</v>
      </c>
      <c r="E47" t="s">
        <v>11</v>
      </c>
      <c r="I47">
        <v>3006</v>
      </c>
      <c r="J47" t="s">
        <v>3</v>
      </c>
      <c r="K47">
        <v>1</v>
      </c>
    </row>
    <row r="48" spans="2:11">
      <c r="B48">
        <v>3006</v>
      </c>
      <c r="C48" t="s">
        <v>3</v>
      </c>
      <c r="D48">
        <v>5</v>
      </c>
      <c r="E48" t="s">
        <v>18</v>
      </c>
      <c r="I48">
        <v>3008</v>
      </c>
      <c r="J48" t="s">
        <v>3</v>
      </c>
      <c r="K48">
        <v>0</v>
      </c>
    </row>
    <row r="49" spans="2:11">
      <c r="B49">
        <v>3008</v>
      </c>
      <c r="C49" t="s">
        <v>3</v>
      </c>
      <c r="D49">
        <v>11</v>
      </c>
      <c r="E49" t="s">
        <v>16</v>
      </c>
      <c r="I49">
        <v>3008</v>
      </c>
      <c r="J49" t="s">
        <v>3</v>
      </c>
      <c r="K49">
        <v>0</v>
      </c>
    </row>
    <row r="50" spans="2:11">
      <c r="B50">
        <v>3008</v>
      </c>
      <c r="C50" t="s">
        <v>3</v>
      </c>
      <c r="D50">
        <v>10</v>
      </c>
      <c r="E50" t="s">
        <v>12</v>
      </c>
      <c r="I50">
        <v>3008</v>
      </c>
      <c r="J50" t="s">
        <v>3</v>
      </c>
      <c r="K50">
        <v>0</v>
      </c>
    </row>
    <row r="51" spans="2:11">
      <c r="B51">
        <v>3008</v>
      </c>
      <c r="C51" t="s">
        <v>3</v>
      </c>
      <c r="D51">
        <v>8</v>
      </c>
      <c r="E51" t="s">
        <v>17</v>
      </c>
      <c r="I51">
        <v>3008</v>
      </c>
      <c r="J51" t="s">
        <v>3</v>
      </c>
      <c r="K51">
        <v>0</v>
      </c>
    </row>
    <row r="52" spans="2:11">
      <c r="B52">
        <v>3008</v>
      </c>
      <c r="C52" t="s">
        <v>3</v>
      </c>
      <c r="D52">
        <v>7</v>
      </c>
      <c r="E52" t="s">
        <v>11</v>
      </c>
      <c r="I52">
        <v>3008</v>
      </c>
      <c r="J52" t="s">
        <v>3</v>
      </c>
      <c r="K52">
        <v>1</v>
      </c>
    </row>
    <row r="53" spans="2:11">
      <c r="B53">
        <v>3008</v>
      </c>
      <c r="C53" t="s">
        <v>3</v>
      </c>
      <c r="D53">
        <v>5</v>
      </c>
      <c r="E53" t="s">
        <v>18</v>
      </c>
      <c r="I53">
        <v>3009</v>
      </c>
      <c r="J53" t="s">
        <v>3</v>
      </c>
      <c r="K53">
        <v>0</v>
      </c>
    </row>
    <row r="54" spans="2:11">
      <c r="B54">
        <v>3009</v>
      </c>
      <c r="C54" t="s">
        <v>3</v>
      </c>
      <c r="D54">
        <v>11</v>
      </c>
      <c r="E54" t="s">
        <v>16</v>
      </c>
      <c r="I54">
        <v>3009</v>
      </c>
      <c r="J54" t="s">
        <v>3</v>
      </c>
      <c r="K54">
        <v>0</v>
      </c>
    </row>
    <row r="55" spans="2:11">
      <c r="B55">
        <v>3009</v>
      </c>
      <c r="C55" t="s">
        <v>3</v>
      </c>
      <c r="D55">
        <v>10</v>
      </c>
      <c r="E55" t="s">
        <v>12</v>
      </c>
      <c r="I55">
        <v>3009</v>
      </c>
      <c r="J55" t="s">
        <v>3</v>
      </c>
      <c r="K55">
        <v>0</v>
      </c>
    </row>
    <row r="56" spans="2:11">
      <c r="B56">
        <v>3009</v>
      </c>
      <c r="C56" t="s">
        <v>3</v>
      </c>
      <c r="D56">
        <v>8</v>
      </c>
      <c r="E56" t="s">
        <v>17</v>
      </c>
      <c r="I56">
        <v>3009</v>
      </c>
      <c r="J56" t="s">
        <v>3</v>
      </c>
      <c r="K56">
        <v>0</v>
      </c>
    </row>
    <row r="57" spans="2:11">
      <c r="B57">
        <v>3009</v>
      </c>
      <c r="C57" t="s">
        <v>3</v>
      </c>
      <c r="D57">
        <v>7</v>
      </c>
      <c r="E57" t="s">
        <v>11</v>
      </c>
      <c r="I57">
        <v>3009</v>
      </c>
      <c r="J57" t="s">
        <v>3</v>
      </c>
      <c r="K57">
        <v>1</v>
      </c>
    </row>
    <row r="58" spans="2:11">
      <c r="B58">
        <v>3009</v>
      </c>
      <c r="C58" t="s">
        <v>3</v>
      </c>
      <c r="D58">
        <v>5</v>
      </c>
      <c r="E58" t="s">
        <v>18</v>
      </c>
      <c r="I58">
        <v>3330</v>
      </c>
      <c r="J58" t="s">
        <v>3</v>
      </c>
      <c r="K58">
        <v>0</v>
      </c>
    </row>
    <row r="59" spans="2:11">
      <c r="B59">
        <v>3330</v>
      </c>
      <c r="C59" t="s">
        <v>3</v>
      </c>
      <c r="D59">
        <v>11</v>
      </c>
      <c r="E59" t="s">
        <v>16</v>
      </c>
      <c r="I59">
        <v>3330</v>
      </c>
      <c r="J59" t="s">
        <v>3</v>
      </c>
      <c r="K59">
        <v>0</v>
      </c>
    </row>
    <row r="60" spans="2:11">
      <c r="B60">
        <v>3330</v>
      </c>
      <c r="C60" t="s">
        <v>3</v>
      </c>
      <c r="D60">
        <v>10</v>
      </c>
      <c r="E60" t="s">
        <v>12</v>
      </c>
      <c r="I60">
        <v>3330</v>
      </c>
      <c r="J60" t="s">
        <v>3</v>
      </c>
      <c r="K60">
        <v>0</v>
      </c>
    </row>
    <row r="61" spans="2:11">
      <c r="B61">
        <v>3330</v>
      </c>
      <c r="C61" t="s">
        <v>3</v>
      </c>
      <c r="D61">
        <v>8</v>
      </c>
      <c r="E61" t="s">
        <v>17</v>
      </c>
      <c r="I61">
        <v>3330</v>
      </c>
      <c r="J61" t="s">
        <v>3</v>
      </c>
      <c r="K61">
        <v>0</v>
      </c>
    </row>
    <row r="62" spans="2:11">
      <c r="B62">
        <v>3330</v>
      </c>
      <c r="C62" t="s">
        <v>3</v>
      </c>
      <c r="D62">
        <v>7</v>
      </c>
      <c r="E62" t="s">
        <v>11</v>
      </c>
      <c r="I62">
        <v>3330</v>
      </c>
      <c r="J62" t="s">
        <v>3</v>
      </c>
      <c r="K62">
        <v>1</v>
      </c>
    </row>
    <row r="63" spans="2:11">
      <c r="B63">
        <v>3330</v>
      </c>
      <c r="C63" t="s">
        <v>3</v>
      </c>
      <c r="D63">
        <v>5</v>
      </c>
      <c r="E63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9"/>
  <sheetViews>
    <sheetView workbookViewId="0">
      <selection activeCell="E27" sqref="E27"/>
    </sheetView>
  </sheetViews>
  <sheetFormatPr defaultColWidth="9" defaultRowHeight="15.75"/>
  <cols>
    <col min="2" max="2" width="12.125" bestFit="1" customWidth="1"/>
    <col min="3" max="3" width="9.875" bestFit="1" customWidth="1"/>
    <col min="5" max="5" width="14.375" customWidth="1"/>
  </cols>
  <sheetData>
    <row r="2" spans="2:7">
      <c r="B2" s="56" t="s">
        <v>42</v>
      </c>
      <c r="C2" s="56"/>
      <c r="D2" s="56"/>
      <c r="E2" s="56"/>
      <c r="F2" s="56"/>
      <c r="G2" s="56"/>
    </row>
    <row r="3" spans="2:7">
      <c r="B3" s="57" t="s">
        <v>43</v>
      </c>
      <c r="C3" s="57"/>
      <c r="D3" s="57"/>
    </row>
    <row r="4" spans="2:7">
      <c r="B4" s="57" t="s">
        <v>44</v>
      </c>
      <c r="C4" s="57"/>
      <c r="D4" s="57"/>
      <c r="E4" s="57"/>
    </row>
    <row r="6" spans="2:7">
      <c r="B6" s="57" t="s">
        <v>34</v>
      </c>
      <c r="C6" s="57"/>
      <c r="D6" s="57"/>
      <c r="E6" s="57"/>
    </row>
    <row r="7" spans="2:7">
      <c r="B7" t="s">
        <v>35</v>
      </c>
      <c r="C7" t="s">
        <v>10</v>
      </c>
      <c r="D7" t="s">
        <v>36</v>
      </c>
    </row>
    <row r="8" spans="2:7">
      <c r="B8">
        <v>1011</v>
      </c>
      <c r="C8" t="s">
        <v>1</v>
      </c>
      <c r="D8">
        <v>8</v>
      </c>
    </row>
    <row r="9" spans="2:7">
      <c r="B9">
        <v>2001</v>
      </c>
      <c r="C9" t="s">
        <v>2</v>
      </c>
      <c r="D9">
        <v>7</v>
      </c>
    </row>
    <row r="10" spans="2:7">
      <c r="B10">
        <v>2002</v>
      </c>
      <c r="C10" t="s">
        <v>2</v>
      </c>
      <c r="D10">
        <v>7</v>
      </c>
    </row>
    <row r="11" spans="2:7">
      <c r="B11">
        <v>2003</v>
      </c>
      <c r="C11" t="s">
        <v>2</v>
      </c>
      <c r="D11">
        <v>7</v>
      </c>
    </row>
    <row r="12" spans="2:7">
      <c r="B12">
        <v>2004</v>
      </c>
      <c r="C12" t="s">
        <v>2</v>
      </c>
      <c r="D12">
        <v>7</v>
      </c>
    </row>
    <row r="13" spans="2:7">
      <c r="B13">
        <v>2888</v>
      </c>
      <c r="C13" t="s">
        <v>2</v>
      </c>
      <c r="D13">
        <v>7</v>
      </c>
    </row>
    <row r="14" spans="2:7">
      <c r="B14">
        <v>2999</v>
      </c>
      <c r="C14" t="s">
        <v>2</v>
      </c>
      <c r="D14">
        <v>7</v>
      </c>
    </row>
    <row r="15" spans="2:7">
      <c r="B15">
        <v>3004</v>
      </c>
      <c r="C15" t="s">
        <v>3</v>
      </c>
      <c r="D15">
        <v>11</v>
      </c>
    </row>
    <row r="16" spans="2:7">
      <c r="B16">
        <v>3006</v>
      </c>
      <c r="C16" t="s">
        <v>3</v>
      </c>
      <c r="D16">
        <v>11</v>
      </c>
    </row>
    <row r="17" spans="2:4">
      <c r="B17">
        <v>3008</v>
      </c>
      <c r="C17" t="s">
        <v>3</v>
      </c>
      <c r="D17">
        <v>11</v>
      </c>
    </row>
    <row r="18" spans="2:4">
      <c r="B18">
        <v>3009</v>
      </c>
      <c r="C18" t="s">
        <v>3</v>
      </c>
      <c r="D18">
        <v>11</v>
      </c>
    </row>
    <row r="19" spans="2:4">
      <c r="B19">
        <v>3330</v>
      </c>
      <c r="C19" t="s">
        <v>3</v>
      </c>
      <c r="D19">
        <v>5</v>
      </c>
    </row>
  </sheetData>
  <mergeCells count="4">
    <mergeCell ref="B2:G2"/>
    <mergeCell ref="B3:D3"/>
    <mergeCell ref="B4:E4"/>
    <mergeCell ref="B6:E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5"/>
  <sheetViews>
    <sheetView workbookViewId="0">
      <selection activeCell="E16" sqref="E16"/>
    </sheetView>
  </sheetViews>
  <sheetFormatPr defaultColWidth="9" defaultRowHeight="15.75"/>
  <cols>
    <col min="1" max="1" width="11.625" bestFit="1" customWidth="1"/>
    <col min="2" max="2" width="14.125" bestFit="1" customWidth="1"/>
    <col min="3" max="3" width="20.25" customWidth="1"/>
  </cols>
  <sheetData>
    <row r="2" spans="1:6">
      <c r="A2" s="58" t="s">
        <v>48</v>
      </c>
      <c r="B2" s="59"/>
      <c r="C2" s="59"/>
      <c r="D2" s="59"/>
      <c r="E2" s="59"/>
      <c r="F2" s="59"/>
    </row>
    <row r="4" spans="1:6">
      <c r="A4" s="1" t="s">
        <v>30</v>
      </c>
      <c r="B4" s="1" t="s">
        <v>31</v>
      </c>
      <c r="C4" s="1" t="s">
        <v>32</v>
      </c>
      <c r="D4" s="1" t="s">
        <v>33</v>
      </c>
      <c r="E4" s="1"/>
    </row>
    <row r="5" spans="1:6">
      <c r="A5" t="s">
        <v>2</v>
      </c>
      <c r="B5" t="s">
        <v>17</v>
      </c>
      <c r="C5" t="s">
        <v>5</v>
      </c>
      <c r="D5">
        <v>1</v>
      </c>
    </row>
  </sheetData>
  <mergeCells count="1">
    <mergeCell ref="A2:F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Welcome</vt:lpstr>
      <vt:lpstr>Capacity</vt:lpstr>
      <vt:lpstr>Parking Log</vt:lpstr>
      <vt:lpstr>Pricing</vt:lpstr>
      <vt:lpstr>SAnalysis</vt:lpstr>
      <vt:lpstr>Optimize Parking Report</vt:lpstr>
      <vt:lpstr>Search Results</vt:lpstr>
      <vt:lpstr>Block1</vt:lpstr>
      <vt:lpstr>Block10</vt:lpstr>
      <vt:lpstr>Block11</vt:lpstr>
      <vt:lpstr>Block12</vt:lpstr>
      <vt:lpstr>Block13</vt:lpstr>
      <vt:lpstr>Block2</vt:lpstr>
      <vt:lpstr>Block3</vt:lpstr>
      <vt:lpstr>Block4</vt:lpstr>
      <vt:lpstr>Block5</vt:lpstr>
      <vt:lpstr>Block6</vt:lpstr>
      <vt:lpstr>Block7</vt:lpstr>
      <vt:lpstr>Block8</vt:lpstr>
      <vt:lpstr>Block9</vt:lpstr>
      <vt:lpstr>ObjFunc</vt:lpstr>
      <vt:lpstr>parkedSpots</vt:lpstr>
      <vt:lpstr>pRates</vt:lpstr>
    </vt:vector>
  </TitlesOfParts>
  <Company>Schulich School of Business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 Khalatian</dc:creator>
  <cp:lastModifiedBy>Schulich School of Business</cp:lastModifiedBy>
  <dcterms:created xsi:type="dcterms:W3CDTF">2014-03-13T16:14:38Z</dcterms:created>
  <dcterms:modified xsi:type="dcterms:W3CDTF">2014-04-02T17:21:32Z</dcterms:modified>
</cp:coreProperties>
</file>